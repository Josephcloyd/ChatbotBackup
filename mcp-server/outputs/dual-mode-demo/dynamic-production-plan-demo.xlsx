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Production Plan" state="visible" r:id="rId5"/>
    <sheet sheetId="3" name="Monthly Summary" state="visible" r:id="rId6"/>
    <sheet sheetId="4" name="Phases &amp; Risks" state="visible" r:id="rId7"/>
    <sheet sheetId="5" name="Assumptions" state="visible" r:id="rId8"/>
  </sheets>
  <calcPr calcId="171027" fullCalcOnLoad="1"/>
</workbook>
</file>

<file path=xl/sharedStrings.xml><?xml version="1.0" encoding="utf-8"?>
<sst xmlns="http://schemas.openxmlformats.org/spreadsheetml/2006/main" count="74" uniqueCount="71">
  <si>
    <t>Production Plan | Executive Summary</t>
  </si>
  <si>
    <t>Project</t>
  </si>
  <si>
    <t>Four-Month Annotation Production Plan</t>
  </si>
  <si>
    <t>Client</t>
  </si>
  <si>
    <t>Example Client</t>
  </si>
  <si>
    <t>Description</t>
  </si>
  <si>
    <t>Create a production plan for a class of 4 annotators over 4 calendar months with 400 total hours, starting 2026-08-01.</t>
  </si>
  <si>
    <t>Start Date</t>
  </si>
  <si>
    <t>Deadline</t>
  </si>
  <si>
    <t>Schedule</t>
  </si>
  <si>
    <t>Calendar days</t>
  </si>
  <si>
    <t>Scheduled Days</t>
  </si>
  <si>
    <t>PLANNED HOURS</t>
  </si>
  <si>
    <t>TEAM SIZE</t>
  </si>
  <si>
    <t>ACTUAL HOURS</t>
  </si>
  <si>
    <t>COMPLETION</t>
  </si>
  <si>
    <t>Plan Summary</t>
  </si>
  <si>
    <t>A four-month, calendar-day production plan for four annotators with exactly 400 planned hours, supported by editable actuals, monthly rollups, phases, risks, and assumptions.</t>
  </si>
  <si>
    <t>No.</t>
  </si>
  <si>
    <t>Date</t>
  </si>
  <si>
    <t>Month</t>
  </si>
  <si>
    <t>Day</t>
  </si>
  <si>
    <t>Target Active Annotators</t>
  </si>
  <si>
    <t>Target Total Hours</t>
  </si>
  <si>
    <t>Target Total Hours per Annotator</t>
  </si>
  <si>
    <t>Actual Active Annotators</t>
  </si>
  <si>
    <t>Actual Total Hours</t>
  </si>
  <si>
    <t>Actual Total Hours per Annotator</t>
  </si>
  <si>
    <t>Target Hours</t>
  </si>
  <si>
    <t>Actual Hours</t>
  </si>
  <si>
    <t>Total Variance</t>
  </si>
  <si>
    <t>Completion Rate (%)</t>
  </si>
  <si>
    <t>Status</t>
  </si>
  <si>
    <t>Notes</t>
  </si>
  <si>
    <t>Planned Hours</t>
  </si>
  <si>
    <t>Variance</t>
  </si>
  <si>
    <t>Completion Rate</t>
  </si>
  <si>
    <t>Aug 2026</t>
  </si>
  <si>
    <t>Sep 2026</t>
  </si>
  <si>
    <t>Oct 2026</t>
  </si>
  <si>
    <t>Nov 2026</t>
  </si>
  <si>
    <t>Delivery Phases &amp; Risk Register</t>
  </si>
  <si>
    <t>Phase</t>
  </si>
  <si>
    <t>Objective</t>
  </si>
  <si>
    <t>Mobilization</t>
  </si>
  <si>
    <t>Confirm inputs, guidelines, access, and team readiness.</t>
  </si>
  <si>
    <t>Pilot</t>
  </si>
  <si>
    <t>Validate instructions and calibrate quality expectations.</t>
  </si>
  <si>
    <t>Production</t>
  </si>
  <si>
    <t>Deliver the planned workload against daily targets.</t>
  </si>
  <si>
    <t>Closeout</t>
  </si>
  <si>
    <t>Resolve remaining issues and confirm final acceptance.</t>
  </si>
  <si>
    <t>Risk</t>
  </si>
  <si>
    <t>Impact</t>
  </si>
  <si>
    <t>Mitigation</t>
  </si>
  <si>
    <t>Late or incomplete source data</t>
  </si>
  <si>
    <t>Reduces available production time.</t>
  </si>
  <si>
    <t>Confirm readiness and escalation owners before kickoff.</t>
  </si>
  <si>
    <t>Guideline ambiguity</t>
  </si>
  <si>
    <t>Creates rework and inconsistent quality.</t>
  </si>
  <si>
    <t>Run a pilot and document adjudicated examples.</t>
  </si>
  <si>
    <t>Team availability</t>
  </si>
  <si>
    <t>Daily targets may be missed.</t>
  </si>
  <si>
    <t>Track attendance and rebalance work weekly.</t>
  </si>
  <si>
    <t>Planning Assumptions</t>
  </si>
  <si>
    <t>Assumption</t>
  </si>
  <si>
    <t>Input data and annotation guidelines are available before kickoff.</t>
  </si>
  <si>
    <t>All four annotators complete onboarding before production begins.</t>
  </si>
  <si>
    <t>Quality review occurs throughout delivery rather than only at the end.</t>
  </si>
  <si>
    <t>Calendar days scheduling was used.</t>
  </si>
  <si>
    <t>Total target hours are distributed across 122 scheduled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</si>
</sst>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sz val="10"/>
      <name val="Aptos"/>
    </font>
    <font>
      <b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563EB"/>
      </patternFill>
    </fill>
    <fill>
      <patternFill patternType="solid">
        <fgColor rgb="FFEAF2FF"/>
      </patternFill>
    </fill>
    <fill>
      <patternFill patternType="solid">
        <fgColor rgb="FFF1F5F9"/>
      </patternFill>
    </fill>
    <fill>
      <patternFill patternType="solid">
        <fgColor rgb="FFE8F5E9"/>
      </patternFill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0E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0" fontId="2" fillId="3" borderId="0" xfId="0" applyFont="1" applyFill="1" applyAlignment="1">
      <alignment horizontal="center"/>
    </xf>
    <xf numFmtId="4" fontId="2" fillId="4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vertical="top" wrapText="1"/>
    </xf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2" fillId="6" borderId="0" xfId="0" applyFont="1" applyFill="1"/>
    <xf numFmtId="4" fontId="2" fillId="6" borderId="0" xfId="0" applyNumberFormat="1" applyFont="1" applyFill="1"/>
    <xf numFmtId="0" fontId="0" fillId="7" borderId="0" xfId="0" applyFill="1"/>
    <xf numFmtId="4" fontId="0" fillId="7" borderId="0" xfId="0" applyNumberFormat="1" applyFill="1"/>
    <xf numFmtId="4" fontId="2" fillId="0" borderId="0" xfId="0" applyNumberFormat="1" applyFont="1"/>
    <xf numFmtId="165" fontId="2" fillId="0" borderId="0" xfId="0" applyNumberFormat="1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8F5E9"/>
        </patternFill>
      </fill>
    </dxf>
    <dxf>
      <fill>
        <patternFill patternType="solid">
          <fgColor rgb="FFFFF7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4" customWidth="1"/>
    <col min="3" max="3" width="18" customWidth="1"/>
    <col min="4" max="4" width="24" customWidth="1"/>
    <col min="5" max="8" width="18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 t="s">
        <v>2</v>
      </c>
      <c r="C4" s="2"/>
      <c r="D4" s="2"/>
      <c r="E4" s="2" t="s">
        <v>3</v>
      </c>
      <c r="F4" s="2" t="s">
        <v>4</v>
      </c>
      <c r="G4" s="2"/>
      <c r="H4" s="2"/>
    </row>
    <row r="5" spans="1:8" x14ac:dyDescent="0.25">
      <c r="A5" s="2" t="s">
        <v>5</v>
      </c>
      <c r="B5" s="3" t="s">
        <v>6</v>
      </c>
      <c r="C5" s="3"/>
      <c r="D5" s="3"/>
      <c r="E5" s="3"/>
      <c r="F5" s="3"/>
      <c r="G5" s="3"/>
      <c r="H5" s="3"/>
    </row>
    <row r="6" spans="2:8" x14ac:dyDescent="0.25">
      <c r="B6" s="3"/>
      <c r="C6" s="3"/>
      <c r="D6" s="3"/>
      <c r="E6" s="3"/>
      <c r="F6" s="3"/>
      <c r="G6" s="3"/>
      <c r="H6" s="3"/>
    </row>
    <row r="8" spans="1:4" x14ac:dyDescent="0.25">
      <c r="A8" s="2" t="s">
        <v>7</v>
      </c>
      <c r="B8" s="4">
        <v>46235</v>
      </c>
      <c r="C8" s="2" t="s">
        <v>8</v>
      </c>
      <c r="D8" s="4">
        <v>46356</v>
      </c>
    </row>
    <row r="9" spans="1:4" x14ac:dyDescent="0.25">
      <c r="A9" s="2" t="s">
        <v>9</v>
      </c>
      <c r="B9" s="2" t="s">
        <v>10</v>
      </c>
      <c r="C9" s="2" t="s">
        <v>11</v>
      </c>
      <c r="D9" s="2">
        <v>122</v>
      </c>
    </row>
    <row r="11" spans="1:8" x14ac:dyDescent="0.25">
      <c r="A11" s="5" t="s">
        <v>12</v>
      </c>
      <c r="B11" s="5"/>
      <c r="C11" s="5" t="s">
        <v>13</v>
      </c>
      <c r="D11" s="5"/>
      <c r="E11" s="5" t="s">
        <v>14</v>
      </c>
      <c r="F11" s="5"/>
      <c r="G11" s="5" t="s">
        <v>15</v>
      </c>
      <c r="H11" s="5"/>
    </row>
    <row r="12" spans="1:8" x14ac:dyDescent="0.25">
      <c r="A12" s="6">
        <f>SUM('Production Plan'!F2:F123)</f>
        <v>400</v>
      </c>
      <c r="B12" s="6"/>
      <c r="C12" s="7">
        <f>MAX('Production Plan'!E2:E123)</f>
        <v>4</v>
      </c>
      <c r="D12" s="7"/>
      <c r="E12" s="6">
        <f>SUM('Production Plan'!I2:I123)</f>
        <v>0</v>
      </c>
      <c r="F12" s="6"/>
      <c r="G12" s="8" t="str">
        <f>IF(COUNT('Production Plan'!I2:I123)=0,"",IFERROR(E12/A12,""))</f>
        <v/>
      </c>
      <c r="H12" s="8"/>
    </row>
    <row r="13" spans="1:8" x14ac:dyDescent="0.25">
      <c r="A13" s="6"/>
      <c r="B13" s="6"/>
      <c r="C13" s="7"/>
      <c r="D13" s="7"/>
      <c r="E13" s="6"/>
      <c r="F13" s="6"/>
      <c r="G13" s="8"/>
      <c r="H13" s="8"/>
    </row>
    <row r="16" spans="1:1" x14ac:dyDescent="0.25">
      <c r="A16" s="2" t="s">
        <v>16</v>
      </c>
    </row>
    <row r="17" spans="1:8" x14ac:dyDescent="0.25">
      <c r="A17" s="9" t="s">
        <v>17</v>
      </c>
      <c r="B17" s="9"/>
      <c r="C17" s="9"/>
      <c r="D17" s="9"/>
      <c r="E17" s="9"/>
      <c r="F17" s="9"/>
      <c r="G17" s="9"/>
      <c r="H17" s="9"/>
    </row>
    <row r="18" spans="1:8" x14ac:dyDescent="0.25">
      <c r="A18" s="9"/>
      <c r="B18" s="9"/>
      <c r="C18" s="9"/>
      <c r="D18" s="9"/>
      <c r="E18" s="9"/>
      <c r="F18" s="9"/>
      <c r="G18" s="9"/>
      <c r="H18" s="9"/>
    </row>
    <row r="19" spans="1:8" x14ac:dyDescent="0.25">
      <c r="A19" s="9"/>
      <c r="B19" s="9"/>
      <c r="C19" s="9"/>
      <c r="D19" s="9"/>
      <c r="E19" s="9"/>
      <c r="F19" s="9"/>
      <c r="G19" s="9"/>
      <c r="H19" s="9"/>
    </row>
  </sheetData>
  <mergeCells count="13">
    <mergeCell ref="A1:H2"/>
    <mergeCell ref="B4:D4"/>
    <mergeCell ref="F4:H4"/>
    <mergeCell ref="B5:H6"/>
    <mergeCell ref="A11:B11"/>
    <mergeCell ref="C11:D11"/>
    <mergeCell ref="E11:F11"/>
    <mergeCell ref="G11:H11"/>
    <mergeCell ref="A12:B13"/>
    <mergeCell ref="C12:D13"/>
    <mergeCell ref="E12:F13"/>
    <mergeCell ref="G12:H13"/>
    <mergeCell ref="A17:H19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3" style="10" customWidth="1"/>
    <col min="3" max="3" width="14" customWidth="1"/>
    <col min="4" max="4" width="10" customWidth="1"/>
    <col min="5" max="5" width="18" customWidth="1"/>
    <col min="6" max="6" width="18" style="11" customWidth="1"/>
    <col min="7" max="7" width="22" style="11" customWidth="1"/>
    <col min="8" max="8" width="18" customWidth="1"/>
    <col min="9" max="9" width="18" style="11" customWidth="1"/>
    <col min="10" max="10" width="22" style="11" customWidth="1"/>
    <col min="11" max="13" width="14" style="11" customWidth="1"/>
    <col min="14" max="14" width="16" style="12" customWidth="1"/>
    <col min="15" max="15" width="15" customWidth="1"/>
    <col min="16" max="16" width="28" customWidth="1"/>
  </cols>
  <sheetData>
    <row r="1" ht="24" customHeight="1" spans="1:16" x14ac:dyDescent="0.25">
      <c r="A1" s="13" t="s">
        <v>18</v>
      </c>
      <c r="B1" s="14" t="s">
        <v>19</v>
      </c>
      <c r="C1" s="13" t="s">
        <v>20</v>
      </c>
      <c r="D1" s="13" t="s">
        <v>21</v>
      </c>
      <c r="E1" s="13" t="s">
        <v>22</v>
      </c>
      <c r="F1" s="15" t="s">
        <v>23</v>
      </c>
      <c r="G1" s="15" t="s">
        <v>24</v>
      </c>
      <c r="H1" s="13" t="s">
        <v>25</v>
      </c>
      <c r="I1" s="15" t="s">
        <v>26</v>
      </c>
      <c r="J1" s="15" t="s">
        <v>27</v>
      </c>
      <c r="K1" s="15" t="s">
        <v>28</v>
      </c>
      <c r="L1" s="15" t="s">
        <v>29</v>
      </c>
      <c r="M1" s="15" t="s">
        <v>30</v>
      </c>
      <c r="N1" s="16" t="s">
        <v>31</v>
      </c>
      <c r="O1" s="13" t="s">
        <v>32</v>
      </c>
      <c r="P1" s="13" t="s">
        <v>33</v>
      </c>
    </row>
    <row r="2" ht="20" customHeight="1" spans="1:16" x14ac:dyDescent="0.25">
      <c r="A2" s="2">
        <v>1</v>
      </c>
      <c r="B2" s="4">
        <v>46235</v>
      </c>
      <c r="C2" s="2" t="str">
        <f>TEXT(B2,"mmm yyyy")</f>
        <v>Aug 2026</v>
      </c>
      <c r="D2" s="2" t="str">
        <f>TEXT(B2,"ddd")</f>
        <v>Sat</v>
      </c>
      <c r="E2" s="17">
        <v>4</v>
      </c>
      <c r="F2" s="18">
        <v>3.28</v>
      </c>
      <c r="G2" s="18">
        <f>IFERROR(F2/E2,0)</f>
        <v>0.82</v>
      </c>
      <c r="H2" s="19"/>
      <c r="I2" s="20"/>
      <c r="J2" s="21" t="str">
        <f>IF(OR(H2="",I2=""),"",I2/H2)</f>
        <v/>
      </c>
      <c r="K2" s="18">
        <f>F2</f>
        <v>3.28</v>
      </c>
      <c r="L2" s="21" t="str">
        <f>IF(I2="","",I2)</f>
        <v/>
      </c>
      <c r="M2" s="21" t="str">
        <f>IF(I2="","",I2-F2)</f>
        <v/>
      </c>
      <c r="N2" s="22" t="str">
        <f>IF(I2="","",IFERROR(I2/F2,""))</f>
        <v/>
      </c>
      <c r="O2" s="2" t="str">
        <f>IF(I2="","Not Started",IF(I2&gt;=F2,"Complete","In Progress"))</f>
        <v>Not Started</v>
      </c>
      <c r="P2" s="19"/>
    </row>
    <row r="3" ht="20" customHeight="1" spans="1:16" x14ac:dyDescent="0.25">
      <c r="A3" s="2">
        <v>2</v>
      </c>
      <c r="B3" s="4">
        <v>46236</v>
      </c>
      <c r="C3" s="2" t="str">
        <f>TEXT(B3,"mmm yyyy")</f>
        <v>Aug 2026</v>
      </c>
      <c r="D3" s="2" t="str">
        <f>TEXT(B3,"ddd")</f>
        <v>Sun</v>
      </c>
      <c r="E3" s="17">
        <v>4</v>
      </c>
      <c r="F3" s="18">
        <v>3.28</v>
      </c>
      <c r="G3" s="18">
        <f>IFERROR(F3/E3,0)</f>
        <v>0.82</v>
      </c>
      <c r="H3" s="19"/>
      <c r="I3" s="20"/>
      <c r="J3" s="21" t="str">
        <f>IF(OR(H3="",I3=""),"",I3/H3)</f>
        <v/>
      </c>
      <c r="K3" s="18">
        <f>F3</f>
        <v>3.28</v>
      </c>
      <c r="L3" s="21" t="str">
        <f>IF(I3="","",I3)</f>
        <v/>
      </c>
      <c r="M3" s="21" t="str">
        <f>IF(I3="","",I3-F3)</f>
        <v/>
      </c>
      <c r="N3" s="22" t="str">
        <f>IF(I3="","",IFERROR(I3/F3,""))</f>
        <v/>
      </c>
      <c r="O3" s="2" t="str">
        <f>IF(I3="","Not Started",IF(I3&gt;=F3,"Complete","In Progress"))</f>
        <v>Not Started</v>
      </c>
      <c r="P3" s="19"/>
    </row>
    <row r="4" ht="20" customHeight="1" spans="1:16" x14ac:dyDescent="0.25">
      <c r="A4" s="2">
        <v>3</v>
      </c>
      <c r="B4" s="4">
        <v>46237</v>
      </c>
      <c r="C4" s="2" t="str">
        <f>TEXT(B4,"mmm yyyy")</f>
        <v>Aug 2026</v>
      </c>
      <c r="D4" s="2" t="str">
        <f>TEXT(B4,"ddd")</f>
        <v>Mon</v>
      </c>
      <c r="E4" s="17">
        <v>4</v>
      </c>
      <c r="F4" s="18">
        <v>3.28</v>
      </c>
      <c r="G4" s="18">
        <f>IFERROR(F4/E4,0)</f>
        <v>0.82</v>
      </c>
      <c r="H4" s="19"/>
      <c r="I4" s="20"/>
      <c r="J4" s="21" t="str">
        <f>IF(OR(H4="",I4=""),"",I4/H4)</f>
        <v/>
      </c>
      <c r="K4" s="18">
        <f>F4</f>
        <v>3.28</v>
      </c>
      <c r="L4" s="21" t="str">
        <f>IF(I4="","",I4)</f>
        <v/>
      </c>
      <c r="M4" s="21" t="str">
        <f>IF(I4="","",I4-F4)</f>
        <v/>
      </c>
      <c r="N4" s="22" t="str">
        <f>IF(I4="","",IFERROR(I4/F4,""))</f>
        <v/>
      </c>
      <c r="O4" s="2" t="str">
        <f>IF(I4="","Not Started",IF(I4&gt;=F4,"Complete","In Progress"))</f>
        <v>Not Started</v>
      </c>
      <c r="P4" s="19"/>
    </row>
    <row r="5" ht="20" customHeight="1" spans="1:16" x14ac:dyDescent="0.25">
      <c r="A5" s="2">
        <v>4</v>
      </c>
      <c r="B5" s="4">
        <v>46238</v>
      </c>
      <c r="C5" s="2" t="str">
        <f>TEXT(B5,"mmm yyyy")</f>
        <v>Aug 2026</v>
      </c>
      <c r="D5" s="2" t="str">
        <f>TEXT(B5,"ddd")</f>
        <v>Tue</v>
      </c>
      <c r="E5" s="17">
        <v>4</v>
      </c>
      <c r="F5" s="18">
        <v>3.28</v>
      </c>
      <c r="G5" s="18">
        <f>IFERROR(F5/E5,0)</f>
        <v>0.82</v>
      </c>
      <c r="H5" s="19"/>
      <c r="I5" s="20"/>
      <c r="J5" s="21" t="str">
        <f>IF(OR(H5="",I5=""),"",I5/H5)</f>
        <v/>
      </c>
      <c r="K5" s="18">
        <f>F5</f>
        <v>3.28</v>
      </c>
      <c r="L5" s="21" t="str">
        <f>IF(I5="","",I5)</f>
        <v/>
      </c>
      <c r="M5" s="21" t="str">
        <f>IF(I5="","",I5-F5)</f>
        <v/>
      </c>
      <c r="N5" s="22" t="str">
        <f>IF(I5="","",IFERROR(I5/F5,""))</f>
        <v/>
      </c>
      <c r="O5" s="2" t="str">
        <f>IF(I5="","Not Started",IF(I5&gt;=F5,"Complete","In Progress"))</f>
        <v>Not Started</v>
      </c>
      <c r="P5" s="19"/>
    </row>
    <row r="6" ht="20" customHeight="1" spans="1:16" x14ac:dyDescent="0.25">
      <c r="A6" s="2">
        <v>5</v>
      </c>
      <c r="B6" s="4">
        <v>46239</v>
      </c>
      <c r="C6" s="2" t="str">
        <f>TEXT(B6,"mmm yyyy")</f>
        <v>Aug 2026</v>
      </c>
      <c r="D6" s="2" t="str">
        <f>TEXT(B6,"ddd")</f>
        <v>Wed</v>
      </c>
      <c r="E6" s="17">
        <v>4</v>
      </c>
      <c r="F6" s="18">
        <v>3.28</v>
      </c>
      <c r="G6" s="18">
        <f>IFERROR(F6/E6,0)</f>
        <v>0.82</v>
      </c>
      <c r="H6" s="19"/>
      <c r="I6" s="20"/>
      <c r="J6" s="21" t="str">
        <f>IF(OR(H6="",I6=""),"",I6/H6)</f>
        <v/>
      </c>
      <c r="K6" s="18">
        <f>F6</f>
        <v>3.28</v>
      </c>
      <c r="L6" s="21" t="str">
        <f>IF(I6="","",I6)</f>
        <v/>
      </c>
      <c r="M6" s="21" t="str">
        <f>IF(I6="","",I6-F6)</f>
        <v/>
      </c>
      <c r="N6" s="22" t="str">
        <f>IF(I6="","",IFERROR(I6/F6,""))</f>
        <v/>
      </c>
      <c r="O6" s="2" t="str">
        <f>IF(I6="","Not Started",IF(I6&gt;=F6,"Complete","In Progress"))</f>
        <v>Not Started</v>
      </c>
      <c r="P6" s="19"/>
    </row>
    <row r="7" ht="20" customHeight="1" spans="1:16" x14ac:dyDescent="0.25">
      <c r="A7" s="2">
        <v>6</v>
      </c>
      <c r="B7" s="4">
        <v>46240</v>
      </c>
      <c r="C7" s="2" t="str">
        <f>TEXT(B7,"mmm yyyy")</f>
        <v>Aug 2026</v>
      </c>
      <c r="D7" s="2" t="str">
        <f>TEXT(B7,"ddd")</f>
        <v>Thu</v>
      </c>
      <c r="E7" s="17">
        <v>4</v>
      </c>
      <c r="F7" s="18">
        <v>3.28</v>
      </c>
      <c r="G7" s="18">
        <f>IFERROR(F7/E7,0)</f>
        <v>0.82</v>
      </c>
      <c r="H7" s="19"/>
      <c r="I7" s="20"/>
      <c r="J7" s="21" t="str">
        <f>IF(OR(H7="",I7=""),"",I7/H7)</f>
        <v/>
      </c>
      <c r="K7" s="18">
        <f>F7</f>
        <v>3.28</v>
      </c>
      <c r="L7" s="21" t="str">
        <f>IF(I7="","",I7)</f>
        <v/>
      </c>
      <c r="M7" s="21" t="str">
        <f>IF(I7="","",I7-F7)</f>
        <v/>
      </c>
      <c r="N7" s="22" t="str">
        <f>IF(I7="","",IFERROR(I7/F7,""))</f>
        <v/>
      </c>
      <c r="O7" s="2" t="str">
        <f>IF(I7="","Not Started",IF(I7&gt;=F7,"Complete","In Progress"))</f>
        <v>Not Started</v>
      </c>
      <c r="P7" s="19"/>
    </row>
    <row r="8" ht="20" customHeight="1" spans="1:16" x14ac:dyDescent="0.25">
      <c r="A8" s="2">
        <v>7</v>
      </c>
      <c r="B8" s="4">
        <v>46241</v>
      </c>
      <c r="C8" s="2" t="str">
        <f>TEXT(B8,"mmm yyyy")</f>
        <v>Aug 2026</v>
      </c>
      <c r="D8" s="2" t="str">
        <f>TEXT(B8,"ddd")</f>
        <v>Fri</v>
      </c>
      <c r="E8" s="17">
        <v>4</v>
      </c>
      <c r="F8" s="18">
        <v>3.28</v>
      </c>
      <c r="G8" s="18">
        <f>IFERROR(F8/E8,0)</f>
        <v>0.82</v>
      </c>
      <c r="H8" s="19"/>
      <c r="I8" s="20"/>
      <c r="J8" s="21" t="str">
        <f>IF(OR(H8="",I8=""),"",I8/H8)</f>
        <v/>
      </c>
      <c r="K8" s="18">
        <f>F8</f>
        <v>3.28</v>
      </c>
      <c r="L8" s="21" t="str">
        <f>IF(I8="","",I8)</f>
        <v/>
      </c>
      <c r="M8" s="21" t="str">
        <f>IF(I8="","",I8-F8)</f>
        <v/>
      </c>
      <c r="N8" s="22" t="str">
        <f>IF(I8="","",IFERROR(I8/F8,""))</f>
        <v/>
      </c>
      <c r="O8" s="2" t="str">
        <f>IF(I8="","Not Started",IF(I8&gt;=F8,"Complete","In Progress"))</f>
        <v>Not Started</v>
      </c>
      <c r="P8" s="19"/>
    </row>
    <row r="9" ht="20" customHeight="1" spans="1:16" x14ac:dyDescent="0.25">
      <c r="A9" s="2">
        <v>8</v>
      </c>
      <c r="B9" s="4">
        <v>46242</v>
      </c>
      <c r="C9" s="2" t="str">
        <f>TEXT(B9,"mmm yyyy")</f>
        <v>Aug 2026</v>
      </c>
      <c r="D9" s="2" t="str">
        <f>TEXT(B9,"ddd")</f>
        <v>Sat</v>
      </c>
      <c r="E9" s="17">
        <v>4</v>
      </c>
      <c r="F9" s="18">
        <v>3.28</v>
      </c>
      <c r="G9" s="18">
        <f>IFERROR(F9/E9,0)</f>
        <v>0.82</v>
      </c>
      <c r="H9" s="19"/>
      <c r="I9" s="20"/>
      <c r="J9" s="21" t="str">
        <f>IF(OR(H9="",I9=""),"",I9/H9)</f>
        <v/>
      </c>
      <c r="K9" s="18">
        <f>F9</f>
        <v>3.28</v>
      </c>
      <c r="L9" s="21" t="str">
        <f>IF(I9="","",I9)</f>
        <v/>
      </c>
      <c r="M9" s="21" t="str">
        <f>IF(I9="","",I9-F9)</f>
        <v/>
      </c>
      <c r="N9" s="22" t="str">
        <f>IF(I9="","",IFERROR(I9/F9,""))</f>
        <v/>
      </c>
      <c r="O9" s="2" t="str">
        <f>IF(I9="","Not Started",IF(I9&gt;=F9,"Complete","In Progress"))</f>
        <v>Not Started</v>
      </c>
      <c r="P9" s="19"/>
    </row>
    <row r="10" ht="20" customHeight="1" spans="1:16" x14ac:dyDescent="0.25">
      <c r="A10" s="2">
        <v>9</v>
      </c>
      <c r="B10" s="4">
        <v>46243</v>
      </c>
      <c r="C10" s="2" t="str">
        <f>TEXT(B10,"mmm yyyy")</f>
        <v>Aug 2026</v>
      </c>
      <c r="D10" s="2" t="str">
        <f>TEXT(B10,"ddd")</f>
        <v>Sun</v>
      </c>
      <c r="E10" s="17">
        <v>4</v>
      </c>
      <c r="F10" s="18">
        <v>3.28</v>
      </c>
      <c r="G10" s="18">
        <f>IFERROR(F10/E10,0)</f>
        <v>0.82</v>
      </c>
      <c r="H10" s="19"/>
      <c r="I10" s="20"/>
      <c r="J10" s="21" t="str">
        <f>IF(OR(H10="",I10=""),"",I10/H10)</f>
        <v/>
      </c>
      <c r="K10" s="18">
        <f>F10</f>
        <v>3.28</v>
      </c>
      <c r="L10" s="21" t="str">
        <f>IF(I10="","",I10)</f>
        <v/>
      </c>
      <c r="M10" s="21" t="str">
        <f>IF(I10="","",I10-F10)</f>
        <v/>
      </c>
      <c r="N10" s="22" t="str">
        <f>IF(I10="","",IFERROR(I10/F10,""))</f>
        <v/>
      </c>
      <c r="O10" s="2" t="str">
        <f>IF(I10="","Not Started",IF(I10&gt;=F10,"Complete","In Progress"))</f>
        <v>Not Started</v>
      </c>
      <c r="P10" s="19"/>
    </row>
    <row r="11" ht="20" customHeight="1" spans="1:16" x14ac:dyDescent="0.25">
      <c r="A11" s="2">
        <v>10</v>
      </c>
      <c r="B11" s="4">
        <v>46244</v>
      </c>
      <c r="C11" s="2" t="str">
        <f>TEXT(B11,"mmm yyyy")</f>
        <v>Aug 2026</v>
      </c>
      <c r="D11" s="2" t="str">
        <f>TEXT(B11,"ddd")</f>
        <v>Mon</v>
      </c>
      <c r="E11" s="17">
        <v>4</v>
      </c>
      <c r="F11" s="18">
        <v>3.28</v>
      </c>
      <c r="G11" s="18">
        <f>IFERROR(F11/E11,0)</f>
        <v>0.82</v>
      </c>
      <c r="H11" s="19"/>
      <c r="I11" s="20"/>
      <c r="J11" s="21" t="str">
        <f>IF(OR(H11="",I11=""),"",I11/H11)</f>
        <v/>
      </c>
      <c r="K11" s="18">
        <f>F11</f>
        <v>3.28</v>
      </c>
      <c r="L11" s="21" t="str">
        <f>IF(I11="","",I11)</f>
        <v/>
      </c>
      <c r="M11" s="21" t="str">
        <f>IF(I11="","",I11-F11)</f>
        <v/>
      </c>
      <c r="N11" s="22" t="str">
        <f>IF(I11="","",IFERROR(I11/F11,""))</f>
        <v/>
      </c>
      <c r="O11" s="2" t="str">
        <f>IF(I11="","Not Started",IF(I11&gt;=F11,"Complete","In Progress"))</f>
        <v>Not Started</v>
      </c>
      <c r="P11" s="19"/>
    </row>
    <row r="12" ht="20" customHeight="1" spans="1:16" x14ac:dyDescent="0.25">
      <c r="A12" s="2">
        <v>11</v>
      </c>
      <c r="B12" s="4">
        <v>46245</v>
      </c>
      <c r="C12" s="2" t="str">
        <f>TEXT(B12,"mmm yyyy")</f>
        <v>Aug 2026</v>
      </c>
      <c r="D12" s="2" t="str">
        <f>TEXT(B12,"ddd")</f>
        <v>Tue</v>
      </c>
      <c r="E12" s="17">
        <v>4</v>
      </c>
      <c r="F12" s="18">
        <v>3.28</v>
      </c>
      <c r="G12" s="18">
        <f>IFERROR(F12/E12,0)</f>
        <v>0.82</v>
      </c>
      <c r="H12" s="19"/>
      <c r="I12" s="20"/>
      <c r="J12" s="21" t="str">
        <f>IF(OR(H12="",I12=""),"",I12/H12)</f>
        <v/>
      </c>
      <c r="K12" s="18">
        <f>F12</f>
        <v>3.28</v>
      </c>
      <c r="L12" s="21" t="str">
        <f>IF(I12="","",I12)</f>
        <v/>
      </c>
      <c r="M12" s="21" t="str">
        <f>IF(I12="","",I12-F12)</f>
        <v/>
      </c>
      <c r="N12" s="22" t="str">
        <f>IF(I12="","",IFERROR(I12/F12,""))</f>
        <v/>
      </c>
      <c r="O12" s="2" t="str">
        <f>IF(I12="","Not Started",IF(I12&gt;=F12,"Complete","In Progress"))</f>
        <v>Not Started</v>
      </c>
      <c r="P12" s="19"/>
    </row>
    <row r="13" ht="20" customHeight="1" spans="1:16" x14ac:dyDescent="0.25">
      <c r="A13" s="2">
        <v>12</v>
      </c>
      <c r="B13" s="4">
        <v>46246</v>
      </c>
      <c r="C13" s="2" t="str">
        <f>TEXT(B13,"mmm yyyy")</f>
        <v>Aug 2026</v>
      </c>
      <c r="D13" s="2" t="str">
        <f>TEXT(B13,"ddd")</f>
        <v>Wed</v>
      </c>
      <c r="E13" s="17">
        <v>4</v>
      </c>
      <c r="F13" s="18">
        <v>3.28</v>
      </c>
      <c r="G13" s="18">
        <f>IFERROR(F13/E13,0)</f>
        <v>0.82</v>
      </c>
      <c r="H13" s="19"/>
      <c r="I13" s="20"/>
      <c r="J13" s="21" t="str">
        <f>IF(OR(H13="",I13=""),"",I13/H13)</f>
        <v/>
      </c>
      <c r="K13" s="18">
        <f>F13</f>
        <v>3.28</v>
      </c>
      <c r="L13" s="21" t="str">
        <f>IF(I13="","",I13)</f>
        <v/>
      </c>
      <c r="M13" s="21" t="str">
        <f>IF(I13="","",I13-F13)</f>
        <v/>
      </c>
      <c r="N13" s="22" t="str">
        <f>IF(I13="","",IFERROR(I13/F13,""))</f>
        <v/>
      </c>
      <c r="O13" s="2" t="str">
        <f>IF(I13="","Not Started",IF(I13&gt;=F13,"Complete","In Progress"))</f>
        <v>Not Started</v>
      </c>
      <c r="P13" s="19"/>
    </row>
    <row r="14" ht="20" customHeight="1" spans="1:16" x14ac:dyDescent="0.25">
      <c r="A14" s="2">
        <v>13</v>
      </c>
      <c r="B14" s="4">
        <v>46247</v>
      </c>
      <c r="C14" s="2" t="str">
        <f>TEXT(B14,"mmm yyyy")</f>
        <v>Aug 2026</v>
      </c>
      <c r="D14" s="2" t="str">
        <f>TEXT(B14,"ddd")</f>
        <v>Thu</v>
      </c>
      <c r="E14" s="17">
        <v>4</v>
      </c>
      <c r="F14" s="18">
        <v>3.28</v>
      </c>
      <c r="G14" s="18">
        <f>IFERROR(F14/E14,0)</f>
        <v>0.82</v>
      </c>
      <c r="H14" s="19"/>
      <c r="I14" s="20"/>
      <c r="J14" s="21" t="str">
        <f>IF(OR(H14="",I14=""),"",I14/H14)</f>
        <v/>
      </c>
      <c r="K14" s="18">
        <f>F14</f>
        <v>3.28</v>
      </c>
      <c r="L14" s="21" t="str">
        <f>IF(I14="","",I14)</f>
        <v/>
      </c>
      <c r="M14" s="21" t="str">
        <f>IF(I14="","",I14-F14)</f>
        <v/>
      </c>
      <c r="N14" s="22" t="str">
        <f>IF(I14="","",IFERROR(I14/F14,""))</f>
        <v/>
      </c>
      <c r="O14" s="2" t="str">
        <f>IF(I14="","Not Started",IF(I14&gt;=F14,"Complete","In Progress"))</f>
        <v>Not Started</v>
      </c>
      <c r="P14" s="19"/>
    </row>
    <row r="15" ht="20" customHeight="1" spans="1:16" x14ac:dyDescent="0.25">
      <c r="A15" s="2">
        <v>14</v>
      </c>
      <c r="B15" s="4">
        <v>46248</v>
      </c>
      <c r="C15" s="2" t="str">
        <f>TEXT(B15,"mmm yyyy")</f>
        <v>Aug 2026</v>
      </c>
      <c r="D15" s="2" t="str">
        <f>TEXT(B15,"ddd")</f>
        <v>Fri</v>
      </c>
      <c r="E15" s="17">
        <v>4</v>
      </c>
      <c r="F15" s="18">
        <v>3.28</v>
      </c>
      <c r="G15" s="18">
        <f>IFERROR(F15/E15,0)</f>
        <v>0.82</v>
      </c>
      <c r="H15" s="19"/>
      <c r="I15" s="20"/>
      <c r="J15" s="21" t="str">
        <f>IF(OR(H15="",I15=""),"",I15/H15)</f>
        <v/>
      </c>
      <c r="K15" s="18">
        <f>F15</f>
        <v>3.28</v>
      </c>
      <c r="L15" s="21" t="str">
        <f>IF(I15="","",I15)</f>
        <v/>
      </c>
      <c r="M15" s="21" t="str">
        <f>IF(I15="","",I15-F15)</f>
        <v/>
      </c>
      <c r="N15" s="22" t="str">
        <f>IF(I15="","",IFERROR(I15/F15,""))</f>
        <v/>
      </c>
      <c r="O15" s="2" t="str">
        <f>IF(I15="","Not Started",IF(I15&gt;=F15,"Complete","In Progress"))</f>
        <v>Not Started</v>
      </c>
      <c r="P15" s="19"/>
    </row>
    <row r="16" ht="20" customHeight="1" spans="1:16" x14ac:dyDescent="0.25">
      <c r="A16" s="2">
        <v>15</v>
      </c>
      <c r="B16" s="4">
        <v>46249</v>
      </c>
      <c r="C16" s="2" t="str">
        <f>TEXT(B16,"mmm yyyy")</f>
        <v>Aug 2026</v>
      </c>
      <c r="D16" s="2" t="str">
        <f>TEXT(B16,"ddd")</f>
        <v>Sat</v>
      </c>
      <c r="E16" s="17">
        <v>4</v>
      </c>
      <c r="F16" s="18">
        <v>3.28</v>
      </c>
      <c r="G16" s="18">
        <f>IFERROR(F16/E16,0)</f>
        <v>0.82</v>
      </c>
      <c r="H16" s="19"/>
      <c r="I16" s="20"/>
      <c r="J16" s="21" t="str">
        <f>IF(OR(H16="",I16=""),"",I16/H16)</f>
        <v/>
      </c>
      <c r="K16" s="18">
        <f>F16</f>
        <v>3.28</v>
      </c>
      <c r="L16" s="21" t="str">
        <f>IF(I16="","",I16)</f>
        <v/>
      </c>
      <c r="M16" s="21" t="str">
        <f>IF(I16="","",I16-F16)</f>
        <v/>
      </c>
      <c r="N16" s="22" t="str">
        <f>IF(I16="","",IFERROR(I16/F16,""))</f>
        <v/>
      </c>
      <c r="O16" s="2" t="str">
        <f>IF(I16="","Not Started",IF(I16&gt;=F16,"Complete","In Progress"))</f>
        <v>Not Started</v>
      </c>
      <c r="P16" s="19"/>
    </row>
    <row r="17" ht="20" customHeight="1" spans="1:16" x14ac:dyDescent="0.25">
      <c r="A17" s="2">
        <v>16</v>
      </c>
      <c r="B17" s="4">
        <v>46250</v>
      </c>
      <c r="C17" s="2" t="str">
        <f>TEXT(B17,"mmm yyyy")</f>
        <v>Aug 2026</v>
      </c>
      <c r="D17" s="2" t="str">
        <f>TEXT(B17,"ddd")</f>
        <v>Sun</v>
      </c>
      <c r="E17" s="17">
        <v>4</v>
      </c>
      <c r="F17" s="18">
        <v>3.28</v>
      </c>
      <c r="G17" s="18">
        <f>IFERROR(F17/E17,0)</f>
        <v>0.82</v>
      </c>
      <c r="H17" s="19"/>
      <c r="I17" s="20"/>
      <c r="J17" s="21" t="str">
        <f>IF(OR(H17="",I17=""),"",I17/H17)</f>
        <v/>
      </c>
      <c r="K17" s="18">
        <f>F17</f>
        <v>3.28</v>
      </c>
      <c r="L17" s="21" t="str">
        <f>IF(I17="","",I17)</f>
        <v/>
      </c>
      <c r="M17" s="21" t="str">
        <f>IF(I17="","",I17-F17)</f>
        <v/>
      </c>
      <c r="N17" s="22" t="str">
        <f>IF(I17="","",IFERROR(I17/F17,""))</f>
        <v/>
      </c>
      <c r="O17" s="2" t="str">
        <f>IF(I17="","Not Started",IF(I17&gt;=F17,"Complete","In Progress"))</f>
        <v>Not Started</v>
      </c>
      <c r="P17" s="19"/>
    </row>
    <row r="18" ht="20" customHeight="1" spans="1:16" x14ac:dyDescent="0.25">
      <c r="A18" s="2">
        <v>17</v>
      </c>
      <c r="B18" s="4">
        <v>46251</v>
      </c>
      <c r="C18" s="2" t="str">
        <f>TEXT(B18,"mmm yyyy")</f>
        <v>Aug 2026</v>
      </c>
      <c r="D18" s="2" t="str">
        <f>TEXT(B18,"ddd")</f>
        <v>Mon</v>
      </c>
      <c r="E18" s="17">
        <v>4</v>
      </c>
      <c r="F18" s="18">
        <v>3.28</v>
      </c>
      <c r="G18" s="18">
        <f>IFERROR(F18/E18,0)</f>
        <v>0.82</v>
      </c>
      <c r="H18" s="19"/>
      <c r="I18" s="20"/>
      <c r="J18" s="21" t="str">
        <f>IF(OR(H18="",I18=""),"",I18/H18)</f>
        <v/>
      </c>
      <c r="K18" s="18">
        <f>F18</f>
        <v>3.28</v>
      </c>
      <c r="L18" s="21" t="str">
        <f>IF(I18="","",I18)</f>
        <v/>
      </c>
      <c r="M18" s="21" t="str">
        <f>IF(I18="","",I18-F18)</f>
        <v/>
      </c>
      <c r="N18" s="22" t="str">
        <f>IF(I18="","",IFERROR(I18/F18,""))</f>
        <v/>
      </c>
      <c r="O18" s="2" t="str">
        <f>IF(I18="","Not Started",IF(I18&gt;=F18,"Complete","In Progress"))</f>
        <v>Not Started</v>
      </c>
      <c r="P18" s="19"/>
    </row>
    <row r="19" ht="20" customHeight="1" spans="1:16" x14ac:dyDescent="0.25">
      <c r="A19" s="2">
        <v>18</v>
      </c>
      <c r="B19" s="4">
        <v>46252</v>
      </c>
      <c r="C19" s="2" t="str">
        <f>TEXT(B19,"mmm yyyy")</f>
        <v>Aug 2026</v>
      </c>
      <c r="D19" s="2" t="str">
        <f>TEXT(B19,"ddd")</f>
        <v>Tue</v>
      </c>
      <c r="E19" s="17">
        <v>4</v>
      </c>
      <c r="F19" s="18">
        <v>3.28</v>
      </c>
      <c r="G19" s="18">
        <f>IFERROR(F19/E19,0)</f>
        <v>0.82</v>
      </c>
      <c r="H19" s="19"/>
      <c r="I19" s="20"/>
      <c r="J19" s="21" t="str">
        <f>IF(OR(H19="",I19=""),"",I19/H19)</f>
        <v/>
      </c>
      <c r="K19" s="18">
        <f>F19</f>
        <v>3.28</v>
      </c>
      <c r="L19" s="21" t="str">
        <f>IF(I19="","",I19)</f>
        <v/>
      </c>
      <c r="M19" s="21" t="str">
        <f>IF(I19="","",I19-F19)</f>
        <v/>
      </c>
      <c r="N19" s="22" t="str">
        <f>IF(I19="","",IFERROR(I19/F19,""))</f>
        <v/>
      </c>
      <c r="O19" s="2" t="str">
        <f>IF(I19="","Not Started",IF(I19&gt;=F19,"Complete","In Progress"))</f>
        <v>Not Started</v>
      </c>
      <c r="P19" s="19"/>
    </row>
    <row r="20" ht="20" customHeight="1" spans="1:16" x14ac:dyDescent="0.25">
      <c r="A20" s="2">
        <v>19</v>
      </c>
      <c r="B20" s="4">
        <v>46253</v>
      </c>
      <c r="C20" s="2" t="str">
        <f>TEXT(B20,"mmm yyyy")</f>
        <v>Aug 2026</v>
      </c>
      <c r="D20" s="2" t="str">
        <f>TEXT(B20,"ddd")</f>
        <v>Wed</v>
      </c>
      <c r="E20" s="17">
        <v>4</v>
      </c>
      <c r="F20" s="18">
        <v>3.28</v>
      </c>
      <c r="G20" s="18">
        <f>IFERROR(F20/E20,0)</f>
        <v>0.82</v>
      </c>
      <c r="H20" s="19"/>
      <c r="I20" s="20"/>
      <c r="J20" s="21" t="str">
        <f>IF(OR(H20="",I20=""),"",I20/H20)</f>
        <v/>
      </c>
      <c r="K20" s="18">
        <f>F20</f>
        <v>3.28</v>
      </c>
      <c r="L20" s="21" t="str">
        <f>IF(I20="","",I20)</f>
        <v/>
      </c>
      <c r="M20" s="21" t="str">
        <f>IF(I20="","",I20-F20)</f>
        <v/>
      </c>
      <c r="N20" s="22" t="str">
        <f>IF(I20="","",IFERROR(I20/F20,""))</f>
        <v/>
      </c>
      <c r="O20" s="2" t="str">
        <f>IF(I20="","Not Started",IF(I20&gt;=F20,"Complete","In Progress"))</f>
        <v>Not Started</v>
      </c>
      <c r="P20" s="19"/>
    </row>
    <row r="21" ht="20" customHeight="1" spans="1:16" x14ac:dyDescent="0.25">
      <c r="A21" s="2">
        <v>20</v>
      </c>
      <c r="B21" s="4">
        <v>46254</v>
      </c>
      <c r="C21" s="2" t="str">
        <f>TEXT(B21,"mmm yyyy")</f>
        <v>Aug 2026</v>
      </c>
      <c r="D21" s="2" t="str">
        <f>TEXT(B21,"ddd")</f>
        <v>Thu</v>
      </c>
      <c r="E21" s="17">
        <v>4</v>
      </c>
      <c r="F21" s="18">
        <v>3.28</v>
      </c>
      <c r="G21" s="18">
        <f>IFERROR(F21/E21,0)</f>
        <v>0.82</v>
      </c>
      <c r="H21" s="19"/>
      <c r="I21" s="20"/>
      <c r="J21" s="21" t="str">
        <f>IF(OR(H21="",I21=""),"",I21/H21)</f>
        <v/>
      </c>
      <c r="K21" s="18">
        <f>F21</f>
        <v>3.28</v>
      </c>
      <c r="L21" s="21" t="str">
        <f>IF(I21="","",I21)</f>
        <v/>
      </c>
      <c r="M21" s="21" t="str">
        <f>IF(I21="","",I21-F21)</f>
        <v/>
      </c>
      <c r="N21" s="22" t="str">
        <f>IF(I21="","",IFERROR(I21/F21,""))</f>
        <v/>
      </c>
      <c r="O21" s="2" t="str">
        <f>IF(I21="","Not Started",IF(I21&gt;=F21,"Complete","In Progress"))</f>
        <v>Not Started</v>
      </c>
      <c r="P21" s="19"/>
    </row>
    <row r="22" ht="20" customHeight="1" spans="1:16" x14ac:dyDescent="0.25">
      <c r="A22" s="2">
        <v>21</v>
      </c>
      <c r="B22" s="4">
        <v>46255</v>
      </c>
      <c r="C22" s="2" t="str">
        <f>TEXT(B22,"mmm yyyy")</f>
        <v>Aug 2026</v>
      </c>
      <c r="D22" s="2" t="str">
        <f>TEXT(B22,"ddd")</f>
        <v>Fri</v>
      </c>
      <c r="E22" s="17">
        <v>4</v>
      </c>
      <c r="F22" s="18">
        <v>3.28</v>
      </c>
      <c r="G22" s="18">
        <f>IFERROR(F22/E22,0)</f>
        <v>0.82</v>
      </c>
      <c r="H22" s="19"/>
      <c r="I22" s="20"/>
      <c r="J22" s="21" t="str">
        <f>IF(OR(H22="",I22=""),"",I22/H22)</f>
        <v/>
      </c>
      <c r="K22" s="18">
        <f>F22</f>
        <v>3.28</v>
      </c>
      <c r="L22" s="21" t="str">
        <f>IF(I22="","",I22)</f>
        <v/>
      </c>
      <c r="M22" s="21" t="str">
        <f>IF(I22="","",I22-F22)</f>
        <v/>
      </c>
      <c r="N22" s="22" t="str">
        <f>IF(I22="","",IFERROR(I22/F22,""))</f>
        <v/>
      </c>
      <c r="O22" s="2" t="str">
        <f>IF(I22="","Not Started",IF(I22&gt;=F22,"Complete","In Progress"))</f>
        <v>Not Started</v>
      </c>
      <c r="P22" s="19"/>
    </row>
    <row r="23" ht="20" customHeight="1" spans="1:16" x14ac:dyDescent="0.25">
      <c r="A23" s="2">
        <v>22</v>
      </c>
      <c r="B23" s="4">
        <v>46256</v>
      </c>
      <c r="C23" s="2" t="str">
        <f>TEXT(B23,"mmm yyyy")</f>
        <v>Aug 2026</v>
      </c>
      <c r="D23" s="2" t="str">
        <f>TEXT(B23,"ddd")</f>
        <v>Sat</v>
      </c>
      <c r="E23" s="17">
        <v>4</v>
      </c>
      <c r="F23" s="18">
        <v>3.28</v>
      </c>
      <c r="G23" s="18">
        <f>IFERROR(F23/E23,0)</f>
        <v>0.82</v>
      </c>
      <c r="H23" s="19"/>
      <c r="I23" s="20"/>
      <c r="J23" s="21" t="str">
        <f>IF(OR(H23="",I23=""),"",I23/H23)</f>
        <v/>
      </c>
      <c r="K23" s="18">
        <f>F23</f>
        <v>3.28</v>
      </c>
      <c r="L23" s="21" t="str">
        <f>IF(I23="","",I23)</f>
        <v/>
      </c>
      <c r="M23" s="21" t="str">
        <f>IF(I23="","",I23-F23)</f>
        <v/>
      </c>
      <c r="N23" s="22" t="str">
        <f>IF(I23="","",IFERROR(I23/F23,""))</f>
        <v/>
      </c>
      <c r="O23" s="2" t="str">
        <f>IF(I23="","Not Started",IF(I23&gt;=F23,"Complete","In Progress"))</f>
        <v>Not Started</v>
      </c>
      <c r="P23" s="19"/>
    </row>
    <row r="24" ht="20" customHeight="1" spans="1:16" x14ac:dyDescent="0.25">
      <c r="A24" s="2">
        <v>23</v>
      </c>
      <c r="B24" s="4">
        <v>46257</v>
      </c>
      <c r="C24" s="2" t="str">
        <f>TEXT(B24,"mmm yyyy")</f>
        <v>Aug 2026</v>
      </c>
      <c r="D24" s="2" t="str">
        <f>TEXT(B24,"ddd")</f>
        <v>Sun</v>
      </c>
      <c r="E24" s="17">
        <v>4</v>
      </c>
      <c r="F24" s="18">
        <v>3.28</v>
      </c>
      <c r="G24" s="18">
        <f>IFERROR(F24/E24,0)</f>
        <v>0.82</v>
      </c>
      <c r="H24" s="19"/>
      <c r="I24" s="20"/>
      <c r="J24" s="21" t="str">
        <f>IF(OR(H24="",I24=""),"",I24/H24)</f>
        <v/>
      </c>
      <c r="K24" s="18">
        <f>F24</f>
        <v>3.28</v>
      </c>
      <c r="L24" s="21" t="str">
        <f>IF(I24="","",I24)</f>
        <v/>
      </c>
      <c r="M24" s="21" t="str">
        <f>IF(I24="","",I24-F24)</f>
        <v/>
      </c>
      <c r="N24" s="22" t="str">
        <f>IF(I24="","",IFERROR(I24/F24,""))</f>
        <v/>
      </c>
      <c r="O24" s="2" t="str">
        <f>IF(I24="","Not Started",IF(I24&gt;=F24,"Complete","In Progress"))</f>
        <v>Not Started</v>
      </c>
      <c r="P24" s="19"/>
    </row>
    <row r="25" ht="20" customHeight="1" spans="1:16" x14ac:dyDescent="0.25">
      <c r="A25" s="2">
        <v>24</v>
      </c>
      <c r="B25" s="4">
        <v>46258</v>
      </c>
      <c r="C25" s="2" t="str">
        <f>TEXT(B25,"mmm yyyy")</f>
        <v>Aug 2026</v>
      </c>
      <c r="D25" s="2" t="str">
        <f>TEXT(B25,"ddd")</f>
        <v>Mon</v>
      </c>
      <c r="E25" s="17">
        <v>4</v>
      </c>
      <c r="F25" s="18">
        <v>3.28</v>
      </c>
      <c r="G25" s="18">
        <f>IFERROR(F25/E25,0)</f>
        <v>0.82</v>
      </c>
      <c r="H25" s="19"/>
      <c r="I25" s="20"/>
      <c r="J25" s="21" t="str">
        <f>IF(OR(H25="",I25=""),"",I25/H25)</f>
        <v/>
      </c>
      <c r="K25" s="18">
        <f>F25</f>
        <v>3.28</v>
      </c>
      <c r="L25" s="21" t="str">
        <f>IF(I25="","",I25)</f>
        <v/>
      </c>
      <c r="M25" s="21" t="str">
        <f>IF(I25="","",I25-F25)</f>
        <v/>
      </c>
      <c r="N25" s="22" t="str">
        <f>IF(I25="","",IFERROR(I25/F25,""))</f>
        <v/>
      </c>
      <c r="O25" s="2" t="str">
        <f>IF(I25="","Not Started",IF(I25&gt;=F25,"Complete","In Progress"))</f>
        <v>Not Started</v>
      </c>
      <c r="P25" s="19"/>
    </row>
    <row r="26" ht="20" customHeight="1" spans="1:16" x14ac:dyDescent="0.25">
      <c r="A26" s="2">
        <v>25</v>
      </c>
      <c r="B26" s="4">
        <v>46259</v>
      </c>
      <c r="C26" s="2" t="str">
        <f>TEXT(B26,"mmm yyyy")</f>
        <v>Aug 2026</v>
      </c>
      <c r="D26" s="2" t="str">
        <f>TEXT(B26,"ddd")</f>
        <v>Tue</v>
      </c>
      <c r="E26" s="17">
        <v>4</v>
      </c>
      <c r="F26" s="18">
        <v>3.28</v>
      </c>
      <c r="G26" s="18">
        <f>IFERROR(F26/E26,0)</f>
        <v>0.82</v>
      </c>
      <c r="H26" s="19"/>
      <c r="I26" s="20"/>
      <c r="J26" s="21" t="str">
        <f>IF(OR(H26="",I26=""),"",I26/H26)</f>
        <v/>
      </c>
      <c r="K26" s="18">
        <f>F26</f>
        <v>3.28</v>
      </c>
      <c r="L26" s="21" t="str">
        <f>IF(I26="","",I26)</f>
        <v/>
      </c>
      <c r="M26" s="21" t="str">
        <f>IF(I26="","",I26-F26)</f>
        <v/>
      </c>
      <c r="N26" s="22" t="str">
        <f>IF(I26="","",IFERROR(I26/F26,""))</f>
        <v/>
      </c>
      <c r="O26" s="2" t="str">
        <f>IF(I26="","Not Started",IF(I26&gt;=F26,"Complete","In Progress"))</f>
        <v>Not Started</v>
      </c>
      <c r="P26" s="19"/>
    </row>
    <row r="27" ht="20" customHeight="1" spans="1:16" x14ac:dyDescent="0.25">
      <c r="A27" s="2">
        <v>26</v>
      </c>
      <c r="B27" s="4">
        <v>46260</v>
      </c>
      <c r="C27" s="2" t="str">
        <f>TEXT(B27,"mmm yyyy")</f>
        <v>Aug 2026</v>
      </c>
      <c r="D27" s="2" t="str">
        <f>TEXT(B27,"ddd")</f>
        <v>Wed</v>
      </c>
      <c r="E27" s="17">
        <v>4</v>
      </c>
      <c r="F27" s="18">
        <v>3.28</v>
      </c>
      <c r="G27" s="18">
        <f>IFERROR(F27/E27,0)</f>
        <v>0.82</v>
      </c>
      <c r="H27" s="19"/>
      <c r="I27" s="20"/>
      <c r="J27" s="21" t="str">
        <f>IF(OR(H27="",I27=""),"",I27/H27)</f>
        <v/>
      </c>
      <c r="K27" s="18">
        <f>F27</f>
        <v>3.28</v>
      </c>
      <c r="L27" s="21" t="str">
        <f>IF(I27="","",I27)</f>
        <v/>
      </c>
      <c r="M27" s="21" t="str">
        <f>IF(I27="","",I27-F27)</f>
        <v/>
      </c>
      <c r="N27" s="22" t="str">
        <f>IF(I27="","",IFERROR(I27/F27,""))</f>
        <v/>
      </c>
      <c r="O27" s="2" t="str">
        <f>IF(I27="","Not Started",IF(I27&gt;=F27,"Complete","In Progress"))</f>
        <v>Not Started</v>
      </c>
      <c r="P27" s="19"/>
    </row>
    <row r="28" ht="20" customHeight="1" spans="1:16" x14ac:dyDescent="0.25">
      <c r="A28" s="2">
        <v>27</v>
      </c>
      <c r="B28" s="4">
        <v>46261</v>
      </c>
      <c r="C28" s="2" t="str">
        <f>TEXT(B28,"mmm yyyy")</f>
        <v>Aug 2026</v>
      </c>
      <c r="D28" s="2" t="str">
        <f>TEXT(B28,"ddd")</f>
        <v>Thu</v>
      </c>
      <c r="E28" s="17">
        <v>4</v>
      </c>
      <c r="F28" s="18">
        <v>3.28</v>
      </c>
      <c r="G28" s="18">
        <f>IFERROR(F28/E28,0)</f>
        <v>0.82</v>
      </c>
      <c r="H28" s="19"/>
      <c r="I28" s="20"/>
      <c r="J28" s="21" t="str">
        <f>IF(OR(H28="",I28=""),"",I28/H28)</f>
        <v/>
      </c>
      <c r="K28" s="18">
        <f>F28</f>
        <v>3.28</v>
      </c>
      <c r="L28" s="21" t="str">
        <f>IF(I28="","",I28)</f>
        <v/>
      </c>
      <c r="M28" s="21" t="str">
        <f>IF(I28="","",I28-F28)</f>
        <v/>
      </c>
      <c r="N28" s="22" t="str">
        <f>IF(I28="","",IFERROR(I28/F28,""))</f>
        <v/>
      </c>
      <c r="O28" s="2" t="str">
        <f>IF(I28="","Not Started",IF(I28&gt;=F28,"Complete","In Progress"))</f>
        <v>Not Started</v>
      </c>
      <c r="P28" s="19"/>
    </row>
    <row r="29" ht="20" customHeight="1" spans="1:16" x14ac:dyDescent="0.25">
      <c r="A29" s="2">
        <v>28</v>
      </c>
      <c r="B29" s="4">
        <v>46262</v>
      </c>
      <c r="C29" s="2" t="str">
        <f>TEXT(B29,"mmm yyyy")</f>
        <v>Aug 2026</v>
      </c>
      <c r="D29" s="2" t="str">
        <f>TEXT(B29,"ddd")</f>
        <v>Fri</v>
      </c>
      <c r="E29" s="17">
        <v>4</v>
      </c>
      <c r="F29" s="18">
        <v>3.28</v>
      </c>
      <c r="G29" s="18">
        <f>IFERROR(F29/E29,0)</f>
        <v>0.82</v>
      </c>
      <c r="H29" s="19"/>
      <c r="I29" s="20"/>
      <c r="J29" s="21" t="str">
        <f>IF(OR(H29="",I29=""),"",I29/H29)</f>
        <v/>
      </c>
      <c r="K29" s="18">
        <f>F29</f>
        <v>3.28</v>
      </c>
      <c r="L29" s="21" t="str">
        <f>IF(I29="","",I29)</f>
        <v/>
      </c>
      <c r="M29" s="21" t="str">
        <f>IF(I29="","",I29-F29)</f>
        <v/>
      </c>
      <c r="N29" s="22" t="str">
        <f>IF(I29="","",IFERROR(I29/F29,""))</f>
        <v/>
      </c>
      <c r="O29" s="2" t="str">
        <f>IF(I29="","Not Started",IF(I29&gt;=F29,"Complete","In Progress"))</f>
        <v>Not Started</v>
      </c>
      <c r="P29" s="19"/>
    </row>
    <row r="30" ht="20" customHeight="1" spans="1:16" x14ac:dyDescent="0.25">
      <c r="A30" s="2">
        <v>29</v>
      </c>
      <c r="B30" s="4">
        <v>46263</v>
      </c>
      <c r="C30" s="2" t="str">
        <f>TEXT(B30,"mmm yyyy")</f>
        <v>Aug 2026</v>
      </c>
      <c r="D30" s="2" t="str">
        <f>TEXT(B30,"ddd")</f>
        <v>Sat</v>
      </c>
      <c r="E30" s="17">
        <v>4</v>
      </c>
      <c r="F30" s="18">
        <v>3.28</v>
      </c>
      <c r="G30" s="18">
        <f>IFERROR(F30/E30,0)</f>
        <v>0.82</v>
      </c>
      <c r="H30" s="19"/>
      <c r="I30" s="20"/>
      <c r="J30" s="21" t="str">
        <f>IF(OR(H30="",I30=""),"",I30/H30)</f>
        <v/>
      </c>
      <c r="K30" s="18">
        <f>F30</f>
        <v>3.28</v>
      </c>
      <c r="L30" s="21" t="str">
        <f>IF(I30="","",I30)</f>
        <v/>
      </c>
      <c r="M30" s="21" t="str">
        <f>IF(I30="","",I30-F30)</f>
        <v/>
      </c>
      <c r="N30" s="22" t="str">
        <f>IF(I30="","",IFERROR(I30/F30,""))</f>
        <v/>
      </c>
      <c r="O30" s="2" t="str">
        <f>IF(I30="","Not Started",IF(I30&gt;=F30,"Complete","In Progress"))</f>
        <v>Not Started</v>
      </c>
      <c r="P30" s="19"/>
    </row>
    <row r="31" ht="20" customHeight="1" spans="1:16" x14ac:dyDescent="0.25">
      <c r="A31" s="2">
        <v>30</v>
      </c>
      <c r="B31" s="4">
        <v>46264</v>
      </c>
      <c r="C31" s="2" t="str">
        <f>TEXT(B31,"mmm yyyy")</f>
        <v>Aug 2026</v>
      </c>
      <c r="D31" s="2" t="str">
        <f>TEXT(B31,"ddd")</f>
        <v>Sun</v>
      </c>
      <c r="E31" s="17">
        <v>4</v>
      </c>
      <c r="F31" s="18">
        <v>3.28</v>
      </c>
      <c r="G31" s="18">
        <f>IFERROR(F31/E31,0)</f>
        <v>0.82</v>
      </c>
      <c r="H31" s="19"/>
      <c r="I31" s="20"/>
      <c r="J31" s="21" t="str">
        <f>IF(OR(H31="",I31=""),"",I31/H31)</f>
        <v/>
      </c>
      <c r="K31" s="18">
        <f>F31</f>
        <v>3.28</v>
      </c>
      <c r="L31" s="21" t="str">
        <f>IF(I31="","",I31)</f>
        <v/>
      </c>
      <c r="M31" s="21" t="str">
        <f>IF(I31="","",I31-F31)</f>
        <v/>
      </c>
      <c r="N31" s="22" t="str">
        <f>IF(I31="","",IFERROR(I31/F31,""))</f>
        <v/>
      </c>
      <c r="O31" s="2" t="str">
        <f>IF(I31="","Not Started",IF(I31&gt;=F31,"Complete","In Progress"))</f>
        <v>Not Started</v>
      </c>
      <c r="P31" s="19"/>
    </row>
    <row r="32" ht="20" customHeight="1" spans="1:16" x14ac:dyDescent="0.25">
      <c r="A32" s="2">
        <v>31</v>
      </c>
      <c r="B32" s="4">
        <v>46265</v>
      </c>
      <c r="C32" s="2" t="str">
        <f>TEXT(B32,"mmm yyyy")</f>
        <v>Aug 2026</v>
      </c>
      <c r="D32" s="2" t="str">
        <f>TEXT(B32,"ddd")</f>
        <v>Mon</v>
      </c>
      <c r="E32" s="17">
        <v>4</v>
      </c>
      <c r="F32" s="18">
        <v>3.28</v>
      </c>
      <c r="G32" s="18">
        <f>IFERROR(F32/E32,0)</f>
        <v>0.82</v>
      </c>
      <c r="H32" s="19"/>
      <c r="I32" s="20"/>
      <c r="J32" s="21" t="str">
        <f>IF(OR(H32="",I32=""),"",I32/H32)</f>
        <v/>
      </c>
      <c r="K32" s="18">
        <f>F32</f>
        <v>3.28</v>
      </c>
      <c r="L32" s="21" t="str">
        <f>IF(I32="","",I32)</f>
        <v/>
      </c>
      <c r="M32" s="21" t="str">
        <f>IF(I32="","",I32-F32)</f>
        <v/>
      </c>
      <c r="N32" s="22" t="str">
        <f>IF(I32="","",IFERROR(I32/F32,""))</f>
        <v/>
      </c>
      <c r="O32" s="2" t="str">
        <f>IF(I32="","Not Started",IF(I32&gt;=F32,"Complete","In Progress"))</f>
        <v>Not Started</v>
      </c>
      <c r="P32" s="19"/>
    </row>
    <row r="33" ht="20" customHeight="1" spans="1:16" x14ac:dyDescent="0.25">
      <c r="A33" s="2">
        <v>32</v>
      </c>
      <c r="B33" s="4">
        <v>46266</v>
      </c>
      <c r="C33" s="2" t="str">
        <f>TEXT(B33,"mmm yyyy")</f>
        <v>Sep 2026</v>
      </c>
      <c r="D33" s="2" t="str">
        <f>TEXT(B33,"ddd")</f>
        <v>Tue</v>
      </c>
      <c r="E33" s="17">
        <v>4</v>
      </c>
      <c r="F33" s="18">
        <v>3.28</v>
      </c>
      <c r="G33" s="18">
        <f>IFERROR(F33/E33,0)</f>
        <v>0.82</v>
      </c>
      <c r="H33" s="19"/>
      <c r="I33" s="20"/>
      <c r="J33" s="21" t="str">
        <f>IF(OR(H33="",I33=""),"",I33/H33)</f>
        <v/>
      </c>
      <c r="K33" s="18">
        <f>F33</f>
        <v>3.28</v>
      </c>
      <c r="L33" s="21" t="str">
        <f>IF(I33="","",I33)</f>
        <v/>
      </c>
      <c r="M33" s="21" t="str">
        <f>IF(I33="","",I33-F33)</f>
        <v/>
      </c>
      <c r="N33" s="22" t="str">
        <f>IF(I33="","",IFERROR(I33/F33,""))</f>
        <v/>
      </c>
      <c r="O33" s="2" t="str">
        <f>IF(I33="","Not Started",IF(I33&gt;=F33,"Complete","In Progress"))</f>
        <v>Not Started</v>
      </c>
      <c r="P33" s="19"/>
    </row>
    <row r="34" ht="20" customHeight="1" spans="1:16" x14ac:dyDescent="0.25">
      <c r="A34" s="2">
        <v>33</v>
      </c>
      <c r="B34" s="4">
        <v>46267</v>
      </c>
      <c r="C34" s="2" t="str">
        <f>TEXT(B34,"mmm yyyy")</f>
        <v>Sep 2026</v>
      </c>
      <c r="D34" s="2" t="str">
        <f>TEXT(B34,"ddd")</f>
        <v>Wed</v>
      </c>
      <c r="E34" s="17">
        <v>4</v>
      </c>
      <c r="F34" s="18">
        <v>3.28</v>
      </c>
      <c r="G34" s="18">
        <f>IFERROR(F34/E34,0)</f>
        <v>0.82</v>
      </c>
      <c r="H34" s="19"/>
      <c r="I34" s="20"/>
      <c r="J34" s="21" t="str">
        <f>IF(OR(H34="",I34=""),"",I34/H34)</f>
        <v/>
      </c>
      <c r="K34" s="18">
        <f>F34</f>
        <v>3.28</v>
      </c>
      <c r="L34" s="21" t="str">
        <f>IF(I34="","",I34)</f>
        <v/>
      </c>
      <c r="M34" s="21" t="str">
        <f>IF(I34="","",I34-F34)</f>
        <v/>
      </c>
      <c r="N34" s="22" t="str">
        <f>IF(I34="","",IFERROR(I34/F34,""))</f>
        <v/>
      </c>
      <c r="O34" s="2" t="str">
        <f>IF(I34="","Not Started",IF(I34&gt;=F34,"Complete","In Progress"))</f>
        <v>Not Started</v>
      </c>
      <c r="P34" s="19"/>
    </row>
    <row r="35" ht="20" customHeight="1" spans="1:16" x14ac:dyDescent="0.25">
      <c r="A35" s="2">
        <v>34</v>
      </c>
      <c r="B35" s="4">
        <v>46268</v>
      </c>
      <c r="C35" s="2" t="str">
        <f>TEXT(B35,"mmm yyyy")</f>
        <v>Sep 2026</v>
      </c>
      <c r="D35" s="2" t="str">
        <f>TEXT(B35,"ddd")</f>
        <v>Thu</v>
      </c>
      <c r="E35" s="17">
        <v>4</v>
      </c>
      <c r="F35" s="18">
        <v>3.28</v>
      </c>
      <c r="G35" s="18">
        <f>IFERROR(F35/E35,0)</f>
        <v>0.82</v>
      </c>
      <c r="H35" s="19"/>
      <c r="I35" s="20"/>
      <c r="J35" s="21" t="str">
        <f>IF(OR(H35="",I35=""),"",I35/H35)</f>
        <v/>
      </c>
      <c r="K35" s="18">
        <f>F35</f>
        <v>3.28</v>
      </c>
      <c r="L35" s="21" t="str">
        <f>IF(I35="","",I35)</f>
        <v/>
      </c>
      <c r="M35" s="21" t="str">
        <f>IF(I35="","",I35-F35)</f>
        <v/>
      </c>
      <c r="N35" s="22" t="str">
        <f>IF(I35="","",IFERROR(I35/F35,""))</f>
        <v/>
      </c>
      <c r="O35" s="2" t="str">
        <f>IF(I35="","Not Started",IF(I35&gt;=F35,"Complete","In Progress"))</f>
        <v>Not Started</v>
      </c>
      <c r="P35" s="19"/>
    </row>
    <row r="36" ht="20" customHeight="1" spans="1:16" x14ac:dyDescent="0.25">
      <c r="A36" s="2">
        <v>35</v>
      </c>
      <c r="B36" s="4">
        <v>46269</v>
      </c>
      <c r="C36" s="2" t="str">
        <f>TEXT(B36,"mmm yyyy")</f>
        <v>Sep 2026</v>
      </c>
      <c r="D36" s="2" t="str">
        <f>TEXT(B36,"ddd")</f>
        <v>Fri</v>
      </c>
      <c r="E36" s="17">
        <v>4</v>
      </c>
      <c r="F36" s="18">
        <v>3.28</v>
      </c>
      <c r="G36" s="18">
        <f>IFERROR(F36/E36,0)</f>
        <v>0.82</v>
      </c>
      <c r="H36" s="19"/>
      <c r="I36" s="20"/>
      <c r="J36" s="21" t="str">
        <f>IF(OR(H36="",I36=""),"",I36/H36)</f>
        <v/>
      </c>
      <c r="K36" s="18">
        <f>F36</f>
        <v>3.28</v>
      </c>
      <c r="L36" s="21" t="str">
        <f>IF(I36="","",I36)</f>
        <v/>
      </c>
      <c r="M36" s="21" t="str">
        <f>IF(I36="","",I36-F36)</f>
        <v/>
      </c>
      <c r="N36" s="22" t="str">
        <f>IF(I36="","",IFERROR(I36/F36,""))</f>
        <v/>
      </c>
      <c r="O36" s="2" t="str">
        <f>IF(I36="","Not Started",IF(I36&gt;=F36,"Complete","In Progress"))</f>
        <v>Not Started</v>
      </c>
      <c r="P36" s="19"/>
    </row>
    <row r="37" ht="20" customHeight="1" spans="1:16" x14ac:dyDescent="0.25">
      <c r="A37" s="2">
        <v>36</v>
      </c>
      <c r="B37" s="4">
        <v>46270</v>
      </c>
      <c r="C37" s="2" t="str">
        <f>TEXT(B37,"mmm yyyy")</f>
        <v>Sep 2026</v>
      </c>
      <c r="D37" s="2" t="str">
        <f>TEXT(B37,"ddd")</f>
        <v>Sat</v>
      </c>
      <c r="E37" s="17">
        <v>4</v>
      </c>
      <c r="F37" s="18">
        <v>3.28</v>
      </c>
      <c r="G37" s="18">
        <f>IFERROR(F37/E37,0)</f>
        <v>0.82</v>
      </c>
      <c r="H37" s="19"/>
      <c r="I37" s="20"/>
      <c r="J37" s="21" t="str">
        <f>IF(OR(H37="",I37=""),"",I37/H37)</f>
        <v/>
      </c>
      <c r="K37" s="18">
        <f>F37</f>
        <v>3.28</v>
      </c>
      <c r="L37" s="21" t="str">
        <f>IF(I37="","",I37)</f>
        <v/>
      </c>
      <c r="M37" s="21" t="str">
        <f>IF(I37="","",I37-F37)</f>
        <v/>
      </c>
      <c r="N37" s="22" t="str">
        <f>IF(I37="","",IFERROR(I37/F37,""))</f>
        <v/>
      </c>
      <c r="O37" s="2" t="str">
        <f>IF(I37="","Not Started",IF(I37&gt;=F37,"Complete","In Progress"))</f>
        <v>Not Started</v>
      </c>
      <c r="P37" s="19"/>
    </row>
    <row r="38" ht="20" customHeight="1" spans="1:16" x14ac:dyDescent="0.25">
      <c r="A38" s="2">
        <v>37</v>
      </c>
      <c r="B38" s="4">
        <v>46271</v>
      </c>
      <c r="C38" s="2" t="str">
        <f>TEXT(B38,"mmm yyyy")</f>
        <v>Sep 2026</v>
      </c>
      <c r="D38" s="2" t="str">
        <f>TEXT(B38,"ddd")</f>
        <v>Sun</v>
      </c>
      <c r="E38" s="17">
        <v>4</v>
      </c>
      <c r="F38" s="18">
        <v>3.28</v>
      </c>
      <c r="G38" s="18">
        <f>IFERROR(F38/E38,0)</f>
        <v>0.82</v>
      </c>
      <c r="H38" s="19"/>
      <c r="I38" s="20"/>
      <c r="J38" s="21" t="str">
        <f>IF(OR(H38="",I38=""),"",I38/H38)</f>
        <v/>
      </c>
      <c r="K38" s="18">
        <f>F38</f>
        <v>3.28</v>
      </c>
      <c r="L38" s="21" t="str">
        <f>IF(I38="","",I38)</f>
        <v/>
      </c>
      <c r="M38" s="21" t="str">
        <f>IF(I38="","",I38-F38)</f>
        <v/>
      </c>
      <c r="N38" s="22" t="str">
        <f>IF(I38="","",IFERROR(I38/F38,""))</f>
        <v/>
      </c>
      <c r="O38" s="2" t="str">
        <f>IF(I38="","Not Started",IF(I38&gt;=F38,"Complete","In Progress"))</f>
        <v>Not Started</v>
      </c>
      <c r="P38" s="19"/>
    </row>
    <row r="39" ht="20" customHeight="1" spans="1:16" x14ac:dyDescent="0.25">
      <c r="A39" s="2">
        <v>38</v>
      </c>
      <c r="B39" s="4">
        <v>46272</v>
      </c>
      <c r="C39" s="2" t="str">
        <f>TEXT(B39,"mmm yyyy")</f>
        <v>Sep 2026</v>
      </c>
      <c r="D39" s="2" t="str">
        <f>TEXT(B39,"ddd")</f>
        <v>Mon</v>
      </c>
      <c r="E39" s="17">
        <v>4</v>
      </c>
      <c r="F39" s="18">
        <v>3.28</v>
      </c>
      <c r="G39" s="18">
        <f>IFERROR(F39/E39,0)</f>
        <v>0.82</v>
      </c>
      <c r="H39" s="19"/>
      <c r="I39" s="20"/>
      <c r="J39" s="21" t="str">
        <f>IF(OR(H39="",I39=""),"",I39/H39)</f>
        <v/>
      </c>
      <c r="K39" s="18">
        <f>F39</f>
        <v>3.28</v>
      </c>
      <c r="L39" s="21" t="str">
        <f>IF(I39="","",I39)</f>
        <v/>
      </c>
      <c r="M39" s="21" t="str">
        <f>IF(I39="","",I39-F39)</f>
        <v/>
      </c>
      <c r="N39" s="22" t="str">
        <f>IF(I39="","",IFERROR(I39/F39,""))</f>
        <v/>
      </c>
      <c r="O39" s="2" t="str">
        <f>IF(I39="","Not Started",IF(I39&gt;=F39,"Complete","In Progress"))</f>
        <v>Not Started</v>
      </c>
      <c r="P39" s="19"/>
    </row>
    <row r="40" ht="20" customHeight="1" spans="1:16" x14ac:dyDescent="0.25">
      <c r="A40" s="2">
        <v>39</v>
      </c>
      <c r="B40" s="4">
        <v>46273</v>
      </c>
      <c r="C40" s="2" t="str">
        <f>TEXT(B40,"mmm yyyy")</f>
        <v>Sep 2026</v>
      </c>
      <c r="D40" s="2" t="str">
        <f>TEXT(B40,"ddd")</f>
        <v>Tue</v>
      </c>
      <c r="E40" s="17">
        <v>4</v>
      </c>
      <c r="F40" s="18">
        <v>3.28</v>
      </c>
      <c r="G40" s="18">
        <f>IFERROR(F40/E40,0)</f>
        <v>0.82</v>
      </c>
      <c r="H40" s="19"/>
      <c r="I40" s="20"/>
      <c r="J40" s="21" t="str">
        <f>IF(OR(H40="",I40=""),"",I40/H40)</f>
        <v/>
      </c>
      <c r="K40" s="18">
        <f>F40</f>
        <v>3.28</v>
      </c>
      <c r="L40" s="21" t="str">
        <f>IF(I40="","",I40)</f>
        <v/>
      </c>
      <c r="M40" s="21" t="str">
        <f>IF(I40="","",I40-F40)</f>
        <v/>
      </c>
      <c r="N40" s="22" t="str">
        <f>IF(I40="","",IFERROR(I40/F40,""))</f>
        <v/>
      </c>
      <c r="O40" s="2" t="str">
        <f>IF(I40="","Not Started",IF(I40&gt;=F40,"Complete","In Progress"))</f>
        <v>Not Started</v>
      </c>
      <c r="P40" s="19"/>
    </row>
    <row r="41" ht="20" customHeight="1" spans="1:16" x14ac:dyDescent="0.25">
      <c r="A41" s="2">
        <v>40</v>
      </c>
      <c r="B41" s="4">
        <v>46274</v>
      </c>
      <c r="C41" s="2" t="str">
        <f>TEXT(B41,"mmm yyyy")</f>
        <v>Sep 2026</v>
      </c>
      <c r="D41" s="2" t="str">
        <f>TEXT(B41,"ddd")</f>
        <v>Wed</v>
      </c>
      <c r="E41" s="17">
        <v>4</v>
      </c>
      <c r="F41" s="18">
        <v>3.28</v>
      </c>
      <c r="G41" s="18">
        <f>IFERROR(F41/E41,0)</f>
        <v>0.82</v>
      </c>
      <c r="H41" s="19"/>
      <c r="I41" s="20"/>
      <c r="J41" s="21" t="str">
        <f>IF(OR(H41="",I41=""),"",I41/H41)</f>
        <v/>
      </c>
      <c r="K41" s="18">
        <f>F41</f>
        <v>3.28</v>
      </c>
      <c r="L41" s="21" t="str">
        <f>IF(I41="","",I41)</f>
        <v/>
      </c>
      <c r="M41" s="21" t="str">
        <f>IF(I41="","",I41-F41)</f>
        <v/>
      </c>
      <c r="N41" s="22" t="str">
        <f>IF(I41="","",IFERROR(I41/F41,""))</f>
        <v/>
      </c>
      <c r="O41" s="2" t="str">
        <f>IF(I41="","Not Started",IF(I41&gt;=F41,"Complete","In Progress"))</f>
        <v>Not Started</v>
      </c>
      <c r="P41" s="19"/>
    </row>
    <row r="42" ht="20" customHeight="1" spans="1:16" x14ac:dyDescent="0.25">
      <c r="A42" s="2">
        <v>41</v>
      </c>
      <c r="B42" s="4">
        <v>46275</v>
      </c>
      <c r="C42" s="2" t="str">
        <f>TEXT(B42,"mmm yyyy")</f>
        <v>Sep 2026</v>
      </c>
      <c r="D42" s="2" t="str">
        <f>TEXT(B42,"ddd")</f>
        <v>Thu</v>
      </c>
      <c r="E42" s="17">
        <v>4</v>
      </c>
      <c r="F42" s="18">
        <v>3.28</v>
      </c>
      <c r="G42" s="18">
        <f>IFERROR(F42/E42,0)</f>
        <v>0.82</v>
      </c>
      <c r="H42" s="19"/>
      <c r="I42" s="20"/>
      <c r="J42" s="21" t="str">
        <f>IF(OR(H42="",I42=""),"",I42/H42)</f>
        <v/>
      </c>
      <c r="K42" s="18">
        <f>F42</f>
        <v>3.28</v>
      </c>
      <c r="L42" s="21" t="str">
        <f>IF(I42="","",I42)</f>
        <v/>
      </c>
      <c r="M42" s="21" t="str">
        <f>IF(I42="","",I42-F42)</f>
        <v/>
      </c>
      <c r="N42" s="22" t="str">
        <f>IF(I42="","",IFERROR(I42/F42,""))</f>
        <v/>
      </c>
      <c r="O42" s="2" t="str">
        <f>IF(I42="","Not Started",IF(I42&gt;=F42,"Complete","In Progress"))</f>
        <v>Not Started</v>
      </c>
      <c r="P42" s="19"/>
    </row>
    <row r="43" ht="20" customHeight="1" spans="1:16" x14ac:dyDescent="0.25">
      <c r="A43" s="2">
        <v>42</v>
      </c>
      <c r="B43" s="4">
        <v>46276</v>
      </c>
      <c r="C43" s="2" t="str">
        <f>TEXT(B43,"mmm yyyy")</f>
        <v>Sep 2026</v>
      </c>
      <c r="D43" s="2" t="str">
        <f>TEXT(B43,"ddd")</f>
        <v>Fri</v>
      </c>
      <c r="E43" s="17">
        <v>4</v>
      </c>
      <c r="F43" s="18">
        <v>3.28</v>
      </c>
      <c r="G43" s="18">
        <f>IFERROR(F43/E43,0)</f>
        <v>0.82</v>
      </c>
      <c r="H43" s="19"/>
      <c r="I43" s="20"/>
      <c r="J43" s="21" t="str">
        <f>IF(OR(H43="",I43=""),"",I43/H43)</f>
        <v/>
      </c>
      <c r="K43" s="18">
        <f>F43</f>
        <v>3.28</v>
      </c>
      <c r="L43" s="21" t="str">
        <f>IF(I43="","",I43)</f>
        <v/>
      </c>
      <c r="M43" s="21" t="str">
        <f>IF(I43="","",I43-F43)</f>
        <v/>
      </c>
      <c r="N43" s="22" t="str">
        <f>IF(I43="","",IFERROR(I43/F43,""))</f>
        <v/>
      </c>
      <c r="O43" s="2" t="str">
        <f>IF(I43="","Not Started",IF(I43&gt;=F43,"Complete","In Progress"))</f>
        <v>Not Started</v>
      </c>
      <c r="P43" s="19"/>
    </row>
    <row r="44" ht="20" customHeight="1" spans="1:16" x14ac:dyDescent="0.25">
      <c r="A44" s="2">
        <v>43</v>
      </c>
      <c r="B44" s="4">
        <v>46277</v>
      </c>
      <c r="C44" s="2" t="str">
        <f>TEXT(B44,"mmm yyyy")</f>
        <v>Sep 2026</v>
      </c>
      <c r="D44" s="2" t="str">
        <f>TEXT(B44,"ddd")</f>
        <v>Sat</v>
      </c>
      <c r="E44" s="17">
        <v>4</v>
      </c>
      <c r="F44" s="18">
        <v>3.28</v>
      </c>
      <c r="G44" s="18">
        <f>IFERROR(F44/E44,0)</f>
        <v>0.82</v>
      </c>
      <c r="H44" s="19"/>
      <c r="I44" s="20"/>
      <c r="J44" s="21" t="str">
        <f>IF(OR(H44="",I44=""),"",I44/H44)</f>
        <v/>
      </c>
      <c r="K44" s="18">
        <f>F44</f>
        <v>3.28</v>
      </c>
      <c r="L44" s="21" t="str">
        <f>IF(I44="","",I44)</f>
        <v/>
      </c>
      <c r="M44" s="21" t="str">
        <f>IF(I44="","",I44-F44)</f>
        <v/>
      </c>
      <c r="N44" s="22" t="str">
        <f>IF(I44="","",IFERROR(I44/F44,""))</f>
        <v/>
      </c>
      <c r="O44" s="2" t="str">
        <f>IF(I44="","Not Started",IF(I44&gt;=F44,"Complete","In Progress"))</f>
        <v>Not Started</v>
      </c>
      <c r="P44" s="19"/>
    </row>
    <row r="45" ht="20" customHeight="1" spans="1:16" x14ac:dyDescent="0.25">
      <c r="A45" s="2">
        <v>44</v>
      </c>
      <c r="B45" s="4">
        <v>46278</v>
      </c>
      <c r="C45" s="2" t="str">
        <f>TEXT(B45,"mmm yyyy")</f>
        <v>Sep 2026</v>
      </c>
      <c r="D45" s="2" t="str">
        <f>TEXT(B45,"ddd")</f>
        <v>Sun</v>
      </c>
      <c r="E45" s="17">
        <v>4</v>
      </c>
      <c r="F45" s="18">
        <v>3.28</v>
      </c>
      <c r="G45" s="18">
        <f>IFERROR(F45/E45,0)</f>
        <v>0.82</v>
      </c>
      <c r="H45" s="19"/>
      <c r="I45" s="20"/>
      <c r="J45" s="21" t="str">
        <f>IF(OR(H45="",I45=""),"",I45/H45)</f>
        <v/>
      </c>
      <c r="K45" s="18">
        <f>F45</f>
        <v>3.28</v>
      </c>
      <c r="L45" s="21" t="str">
        <f>IF(I45="","",I45)</f>
        <v/>
      </c>
      <c r="M45" s="21" t="str">
        <f>IF(I45="","",I45-F45)</f>
        <v/>
      </c>
      <c r="N45" s="22" t="str">
        <f>IF(I45="","",IFERROR(I45/F45,""))</f>
        <v/>
      </c>
      <c r="O45" s="2" t="str">
        <f>IF(I45="","Not Started",IF(I45&gt;=F45,"Complete","In Progress"))</f>
        <v>Not Started</v>
      </c>
      <c r="P45" s="19"/>
    </row>
    <row r="46" ht="20" customHeight="1" spans="1:16" x14ac:dyDescent="0.25">
      <c r="A46" s="2">
        <v>45</v>
      </c>
      <c r="B46" s="4">
        <v>46279</v>
      </c>
      <c r="C46" s="2" t="str">
        <f>TEXT(B46,"mmm yyyy")</f>
        <v>Sep 2026</v>
      </c>
      <c r="D46" s="2" t="str">
        <f>TEXT(B46,"ddd")</f>
        <v>Mon</v>
      </c>
      <c r="E46" s="17">
        <v>4</v>
      </c>
      <c r="F46" s="18">
        <v>3.28</v>
      </c>
      <c r="G46" s="18">
        <f>IFERROR(F46/E46,0)</f>
        <v>0.82</v>
      </c>
      <c r="H46" s="19"/>
      <c r="I46" s="20"/>
      <c r="J46" s="21" t="str">
        <f>IF(OR(H46="",I46=""),"",I46/H46)</f>
        <v/>
      </c>
      <c r="K46" s="18">
        <f>F46</f>
        <v>3.28</v>
      </c>
      <c r="L46" s="21" t="str">
        <f>IF(I46="","",I46)</f>
        <v/>
      </c>
      <c r="M46" s="21" t="str">
        <f>IF(I46="","",I46-F46)</f>
        <v/>
      </c>
      <c r="N46" s="22" t="str">
        <f>IF(I46="","",IFERROR(I46/F46,""))</f>
        <v/>
      </c>
      <c r="O46" s="2" t="str">
        <f>IF(I46="","Not Started",IF(I46&gt;=F46,"Complete","In Progress"))</f>
        <v>Not Started</v>
      </c>
      <c r="P46" s="19"/>
    </row>
    <row r="47" ht="20" customHeight="1" spans="1:16" x14ac:dyDescent="0.25">
      <c r="A47" s="2">
        <v>46</v>
      </c>
      <c r="B47" s="4">
        <v>46280</v>
      </c>
      <c r="C47" s="2" t="str">
        <f>TEXT(B47,"mmm yyyy")</f>
        <v>Sep 2026</v>
      </c>
      <c r="D47" s="2" t="str">
        <f>TEXT(B47,"ddd")</f>
        <v>Tue</v>
      </c>
      <c r="E47" s="17">
        <v>4</v>
      </c>
      <c r="F47" s="18">
        <v>3.28</v>
      </c>
      <c r="G47" s="18">
        <f>IFERROR(F47/E47,0)</f>
        <v>0.82</v>
      </c>
      <c r="H47" s="19"/>
      <c r="I47" s="20"/>
      <c r="J47" s="21" t="str">
        <f>IF(OR(H47="",I47=""),"",I47/H47)</f>
        <v/>
      </c>
      <c r="K47" s="18">
        <f>F47</f>
        <v>3.28</v>
      </c>
      <c r="L47" s="21" t="str">
        <f>IF(I47="","",I47)</f>
        <v/>
      </c>
      <c r="M47" s="21" t="str">
        <f>IF(I47="","",I47-F47)</f>
        <v/>
      </c>
      <c r="N47" s="22" t="str">
        <f>IF(I47="","",IFERROR(I47/F47,""))</f>
        <v/>
      </c>
      <c r="O47" s="2" t="str">
        <f>IF(I47="","Not Started",IF(I47&gt;=F47,"Complete","In Progress"))</f>
        <v>Not Started</v>
      </c>
      <c r="P47" s="19"/>
    </row>
    <row r="48" ht="20" customHeight="1" spans="1:16" x14ac:dyDescent="0.25">
      <c r="A48" s="2">
        <v>47</v>
      </c>
      <c r="B48" s="4">
        <v>46281</v>
      </c>
      <c r="C48" s="2" t="str">
        <f>TEXT(B48,"mmm yyyy")</f>
        <v>Sep 2026</v>
      </c>
      <c r="D48" s="2" t="str">
        <f>TEXT(B48,"ddd")</f>
        <v>Wed</v>
      </c>
      <c r="E48" s="17">
        <v>4</v>
      </c>
      <c r="F48" s="18">
        <v>3.28</v>
      </c>
      <c r="G48" s="18">
        <f>IFERROR(F48/E48,0)</f>
        <v>0.82</v>
      </c>
      <c r="H48" s="19"/>
      <c r="I48" s="20"/>
      <c r="J48" s="21" t="str">
        <f>IF(OR(H48="",I48=""),"",I48/H48)</f>
        <v/>
      </c>
      <c r="K48" s="18">
        <f>F48</f>
        <v>3.28</v>
      </c>
      <c r="L48" s="21" t="str">
        <f>IF(I48="","",I48)</f>
        <v/>
      </c>
      <c r="M48" s="21" t="str">
        <f>IF(I48="","",I48-F48)</f>
        <v/>
      </c>
      <c r="N48" s="22" t="str">
        <f>IF(I48="","",IFERROR(I48/F48,""))</f>
        <v/>
      </c>
      <c r="O48" s="2" t="str">
        <f>IF(I48="","Not Started",IF(I48&gt;=F48,"Complete","In Progress"))</f>
        <v>Not Started</v>
      </c>
      <c r="P48" s="19"/>
    </row>
    <row r="49" ht="20" customHeight="1" spans="1:16" x14ac:dyDescent="0.25">
      <c r="A49" s="2">
        <v>48</v>
      </c>
      <c r="B49" s="4">
        <v>46282</v>
      </c>
      <c r="C49" s="2" t="str">
        <f>TEXT(B49,"mmm yyyy")</f>
        <v>Sep 2026</v>
      </c>
      <c r="D49" s="2" t="str">
        <f>TEXT(B49,"ddd")</f>
        <v>Thu</v>
      </c>
      <c r="E49" s="17">
        <v>4</v>
      </c>
      <c r="F49" s="18">
        <v>3.28</v>
      </c>
      <c r="G49" s="18">
        <f>IFERROR(F49/E49,0)</f>
        <v>0.82</v>
      </c>
      <c r="H49" s="19"/>
      <c r="I49" s="20"/>
      <c r="J49" s="21" t="str">
        <f>IF(OR(H49="",I49=""),"",I49/H49)</f>
        <v/>
      </c>
      <c r="K49" s="18">
        <f>F49</f>
        <v>3.28</v>
      </c>
      <c r="L49" s="21" t="str">
        <f>IF(I49="","",I49)</f>
        <v/>
      </c>
      <c r="M49" s="21" t="str">
        <f>IF(I49="","",I49-F49)</f>
        <v/>
      </c>
      <c r="N49" s="22" t="str">
        <f>IF(I49="","",IFERROR(I49/F49,""))</f>
        <v/>
      </c>
      <c r="O49" s="2" t="str">
        <f>IF(I49="","Not Started",IF(I49&gt;=F49,"Complete","In Progress"))</f>
        <v>Not Started</v>
      </c>
      <c r="P49" s="19"/>
    </row>
    <row r="50" ht="20" customHeight="1" spans="1:16" x14ac:dyDescent="0.25">
      <c r="A50" s="2">
        <v>49</v>
      </c>
      <c r="B50" s="4">
        <v>46283</v>
      </c>
      <c r="C50" s="2" t="str">
        <f>TEXT(B50,"mmm yyyy")</f>
        <v>Sep 2026</v>
      </c>
      <c r="D50" s="2" t="str">
        <f>TEXT(B50,"ddd")</f>
        <v>Fri</v>
      </c>
      <c r="E50" s="17">
        <v>4</v>
      </c>
      <c r="F50" s="18">
        <v>3.28</v>
      </c>
      <c r="G50" s="18">
        <f>IFERROR(F50/E50,0)</f>
        <v>0.82</v>
      </c>
      <c r="H50" s="19"/>
      <c r="I50" s="20"/>
      <c r="J50" s="21" t="str">
        <f>IF(OR(H50="",I50=""),"",I50/H50)</f>
        <v/>
      </c>
      <c r="K50" s="18">
        <f>F50</f>
        <v>3.28</v>
      </c>
      <c r="L50" s="21" t="str">
        <f>IF(I50="","",I50)</f>
        <v/>
      </c>
      <c r="M50" s="21" t="str">
        <f>IF(I50="","",I50-F50)</f>
        <v/>
      </c>
      <c r="N50" s="22" t="str">
        <f>IF(I50="","",IFERROR(I50/F50,""))</f>
        <v/>
      </c>
      <c r="O50" s="2" t="str">
        <f>IF(I50="","Not Started",IF(I50&gt;=F50,"Complete","In Progress"))</f>
        <v>Not Started</v>
      </c>
      <c r="P50" s="19"/>
    </row>
    <row r="51" ht="20" customHeight="1" spans="1:16" x14ac:dyDescent="0.25">
      <c r="A51" s="2">
        <v>50</v>
      </c>
      <c r="B51" s="4">
        <v>46284</v>
      </c>
      <c r="C51" s="2" t="str">
        <f>TEXT(B51,"mmm yyyy")</f>
        <v>Sep 2026</v>
      </c>
      <c r="D51" s="2" t="str">
        <f>TEXT(B51,"ddd")</f>
        <v>Sat</v>
      </c>
      <c r="E51" s="17">
        <v>4</v>
      </c>
      <c r="F51" s="18">
        <v>3.28</v>
      </c>
      <c r="G51" s="18">
        <f>IFERROR(F51/E51,0)</f>
        <v>0.82</v>
      </c>
      <c r="H51" s="19"/>
      <c r="I51" s="20"/>
      <c r="J51" s="21" t="str">
        <f>IF(OR(H51="",I51=""),"",I51/H51)</f>
        <v/>
      </c>
      <c r="K51" s="18">
        <f>F51</f>
        <v>3.28</v>
      </c>
      <c r="L51" s="21" t="str">
        <f>IF(I51="","",I51)</f>
        <v/>
      </c>
      <c r="M51" s="21" t="str">
        <f>IF(I51="","",I51-F51)</f>
        <v/>
      </c>
      <c r="N51" s="22" t="str">
        <f>IF(I51="","",IFERROR(I51/F51,""))</f>
        <v/>
      </c>
      <c r="O51" s="2" t="str">
        <f>IF(I51="","Not Started",IF(I51&gt;=F51,"Complete","In Progress"))</f>
        <v>Not Started</v>
      </c>
      <c r="P51" s="19"/>
    </row>
    <row r="52" ht="20" customHeight="1" spans="1:16" x14ac:dyDescent="0.25">
      <c r="A52" s="2">
        <v>51</v>
      </c>
      <c r="B52" s="4">
        <v>46285</v>
      </c>
      <c r="C52" s="2" t="str">
        <f>TEXT(B52,"mmm yyyy")</f>
        <v>Sep 2026</v>
      </c>
      <c r="D52" s="2" t="str">
        <f>TEXT(B52,"ddd")</f>
        <v>Sun</v>
      </c>
      <c r="E52" s="17">
        <v>4</v>
      </c>
      <c r="F52" s="18">
        <v>3.28</v>
      </c>
      <c r="G52" s="18">
        <f>IFERROR(F52/E52,0)</f>
        <v>0.82</v>
      </c>
      <c r="H52" s="19"/>
      <c r="I52" s="20"/>
      <c r="J52" s="21" t="str">
        <f>IF(OR(H52="",I52=""),"",I52/H52)</f>
        <v/>
      </c>
      <c r="K52" s="18">
        <f>F52</f>
        <v>3.28</v>
      </c>
      <c r="L52" s="21" t="str">
        <f>IF(I52="","",I52)</f>
        <v/>
      </c>
      <c r="M52" s="21" t="str">
        <f>IF(I52="","",I52-F52)</f>
        <v/>
      </c>
      <c r="N52" s="22" t="str">
        <f>IF(I52="","",IFERROR(I52/F52,""))</f>
        <v/>
      </c>
      <c r="O52" s="2" t="str">
        <f>IF(I52="","Not Started",IF(I52&gt;=F52,"Complete","In Progress"))</f>
        <v>Not Started</v>
      </c>
      <c r="P52" s="19"/>
    </row>
    <row r="53" ht="20" customHeight="1" spans="1:16" x14ac:dyDescent="0.25">
      <c r="A53" s="2">
        <v>52</v>
      </c>
      <c r="B53" s="4">
        <v>46286</v>
      </c>
      <c r="C53" s="2" t="str">
        <f>TEXT(B53,"mmm yyyy")</f>
        <v>Sep 2026</v>
      </c>
      <c r="D53" s="2" t="str">
        <f>TEXT(B53,"ddd")</f>
        <v>Mon</v>
      </c>
      <c r="E53" s="17">
        <v>4</v>
      </c>
      <c r="F53" s="18">
        <v>3.28</v>
      </c>
      <c r="G53" s="18">
        <f>IFERROR(F53/E53,0)</f>
        <v>0.82</v>
      </c>
      <c r="H53" s="19"/>
      <c r="I53" s="20"/>
      <c r="J53" s="21" t="str">
        <f>IF(OR(H53="",I53=""),"",I53/H53)</f>
        <v/>
      </c>
      <c r="K53" s="18">
        <f>F53</f>
        <v>3.28</v>
      </c>
      <c r="L53" s="21" t="str">
        <f>IF(I53="","",I53)</f>
        <v/>
      </c>
      <c r="M53" s="21" t="str">
        <f>IF(I53="","",I53-F53)</f>
        <v/>
      </c>
      <c r="N53" s="22" t="str">
        <f>IF(I53="","",IFERROR(I53/F53,""))</f>
        <v/>
      </c>
      <c r="O53" s="2" t="str">
        <f>IF(I53="","Not Started",IF(I53&gt;=F53,"Complete","In Progress"))</f>
        <v>Not Started</v>
      </c>
      <c r="P53" s="19"/>
    </row>
    <row r="54" ht="20" customHeight="1" spans="1:16" x14ac:dyDescent="0.25">
      <c r="A54" s="2">
        <v>53</v>
      </c>
      <c r="B54" s="4">
        <v>46287</v>
      </c>
      <c r="C54" s="2" t="str">
        <f>TEXT(B54,"mmm yyyy")</f>
        <v>Sep 2026</v>
      </c>
      <c r="D54" s="2" t="str">
        <f>TEXT(B54,"ddd")</f>
        <v>Tue</v>
      </c>
      <c r="E54" s="17">
        <v>4</v>
      </c>
      <c r="F54" s="18">
        <v>3.28</v>
      </c>
      <c r="G54" s="18">
        <f>IFERROR(F54/E54,0)</f>
        <v>0.82</v>
      </c>
      <c r="H54" s="19"/>
      <c r="I54" s="20"/>
      <c r="J54" s="21" t="str">
        <f>IF(OR(H54="",I54=""),"",I54/H54)</f>
        <v/>
      </c>
      <c r="K54" s="18">
        <f>F54</f>
        <v>3.28</v>
      </c>
      <c r="L54" s="21" t="str">
        <f>IF(I54="","",I54)</f>
        <v/>
      </c>
      <c r="M54" s="21" t="str">
        <f>IF(I54="","",I54-F54)</f>
        <v/>
      </c>
      <c r="N54" s="22" t="str">
        <f>IF(I54="","",IFERROR(I54/F54,""))</f>
        <v/>
      </c>
      <c r="O54" s="2" t="str">
        <f>IF(I54="","Not Started",IF(I54&gt;=F54,"Complete","In Progress"))</f>
        <v>Not Started</v>
      </c>
      <c r="P54" s="19"/>
    </row>
    <row r="55" ht="20" customHeight="1" spans="1:16" x14ac:dyDescent="0.25">
      <c r="A55" s="2">
        <v>54</v>
      </c>
      <c r="B55" s="4">
        <v>46288</v>
      </c>
      <c r="C55" s="2" t="str">
        <f>TEXT(B55,"mmm yyyy")</f>
        <v>Sep 2026</v>
      </c>
      <c r="D55" s="2" t="str">
        <f>TEXT(B55,"ddd")</f>
        <v>Wed</v>
      </c>
      <c r="E55" s="17">
        <v>4</v>
      </c>
      <c r="F55" s="18">
        <v>3.28</v>
      </c>
      <c r="G55" s="18">
        <f>IFERROR(F55/E55,0)</f>
        <v>0.82</v>
      </c>
      <c r="H55" s="19"/>
      <c r="I55" s="20"/>
      <c r="J55" s="21" t="str">
        <f>IF(OR(H55="",I55=""),"",I55/H55)</f>
        <v/>
      </c>
      <c r="K55" s="18">
        <f>F55</f>
        <v>3.28</v>
      </c>
      <c r="L55" s="21" t="str">
        <f>IF(I55="","",I55)</f>
        <v/>
      </c>
      <c r="M55" s="21" t="str">
        <f>IF(I55="","",I55-F55)</f>
        <v/>
      </c>
      <c r="N55" s="22" t="str">
        <f>IF(I55="","",IFERROR(I55/F55,""))</f>
        <v/>
      </c>
      <c r="O55" s="2" t="str">
        <f>IF(I55="","Not Started",IF(I55&gt;=F55,"Complete","In Progress"))</f>
        <v>Not Started</v>
      </c>
      <c r="P55" s="19"/>
    </row>
    <row r="56" ht="20" customHeight="1" spans="1:16" x14ac:dyDescent="0.25">
      <c r="A56" s="2">
        <v>55</v>
      </c>
      <c r="B56" s="4">
        <v>46289</v>
      </c>
      <c r="C56" s="2" t="str">
        <f>TEXT(B56,"mmm yyyy")</f>
        <v>Sep 2026</v>
      </c>
      <c r="D56" s="2" t="str">
        <f>TEXT(B56,"ddd")</f>
        <v>Thu</v>
      </c>
      <c r="E56" s="17">
        <v>4</v>
      </c>
      <c r="F56" s="18">
        <v>3.28</v>
      </c>
      <c r="G56" s="18">
        <f>IFERROR(F56/E56,0)</f>
        <v>0.82</v>
      </c>
      <c r="H56" s="19"/>
      <c r="I56" s="20"/>
      <c r="J56" s="21" t="str">
        <f>IF(OR(H56="",I56=""),"",I56/H56)</f>
        <v/>
      </c>
      <c r="K56" s="18">
        <f>F56</f>
        <v>3.28</v>
      </c>
      <c r="L56" s="21" t="str">
        <f>IF(I56="","",I56)</f>
        <v/>
      </c>
      <c r="M56" s="21" t="str">
        <f>IF(I56="","",I56-F56)</f>
        <v/>
      </c>
      <c r="N56" s="22" t="str">
        <f>IF(I56="","",IFERROR(I56/F56,""))</f>
        <v/>
      </c>
      <c r="O56" s="2" t="str">
        <f>IF(I56="","Not Started",IF(I56&gt;=F56,"Complete","In Progress"))</f>
        <v>Not Started</v>
      </c>
      <c r="P56" s="19"/>
    </row>
    <row r="57" ht="20" customHeight="1" spans="1:16" x14ac:dyDescent="0.25">
      <c r="A57" s="2">
        <v>56</v>
      </c>
      <c r="B57" s="4">
        <v>46290</v>
      </c>
      <c r="C57" s="2" t="str">
        <f>TEXT(B57,"mmm yyyy")</f>
        <v>Sep 2026</v>
      </c>
      <c r="D57" s="2" t="str">
        <f>TEXT(B57,"ddd")</f>
        <v>Fri</v>
      </c>
      <c r="E57" s="17">
        <v>4</v>
      </c>
      <c r="F57" s="18">
        <v>3.28</v>
      </c>
      <c r="G57" s="18">
        <f>IFERROR(F57/E57,0)</f>
        <v>0.82</v>
      </c>
      <c r="H57" s="19"/>
      <c r="I57" s="20"/>
      <c r="J57" s="21" t="str">
        <f>IF(OR(H57="",I57=""),"",I57/H57)</f>
        <v/>
      </c>
      <c r="K57" s="18">
        <f>F57</f>
        <v>3.28</v>
      </c>
      <c r="L57" s="21" t="str">
        <f>IF(I57="","",I57)</f>
        <v/>
      </c>
      <c r="M57" s="21" t="str">
        <f>IF(I57="","",I57-F57)</f>
        <v/>
      </c>
      <c r="N57" s="22" t="str">
        <f>IF(I57="","",IFERROR(I57/F57,""))</f>
        <v/>
      </c>
      <c r="O57" s="2" t="str">
        <f>IF(I57="","Not Started",IF(I57&gt;=F57,"Complete","In Progress"))</f>
        <v>Not Started</v>
      </c>
      <c r="P57" s="19"/>
    </row>
    <row r="58" ht="20" customHeight="1" spans="1:16" x14ac:dyDescent="0.25">
      <c r="A58" s="2">
        <v>57</v>
      </c>
      <c r="B58" s="4">
        <v>46291</v>
      </c>
      <c r="C58" s="2" t="str">
        <f>TEXT(B58,"mmm yyyy")</f>
        <v>Sep 2026</v>
      </c>
      <c r="D58" s="2" t="str">
        <f>TEXT(B58,"ddd")</f>
        <v>Sat</v>
      </c>
      <c r="E58" s="17">
        <v>4</v>
      </c>
      <c r="F58" s="18">
        <v>3.28</v>
      </c>
      <c r="G58" s="18">
        <f>IFERROR(F58/E58,0)</f>
        <v>0.82</v>
      </c>
      <c r="H58" s="19"/>
      <c r="I58" s="20"/>
      <c r="J58" s="21" t="str">
        <f>IF(OR(H58="",I58=""),"",I58/H58)</f>
        <v/>
      </c>
      <c r="K58" s="18">
        <f>F58</f>
        <v>3.28</v>
      </c>
      <c r="L58" s="21" t="str">
        <f>IF(I58="","",I58)</f>
        <v/>
      </c>
      <c r="M58" s="21" t="str">
        <f>IF(I58="","",I58-F58)</f>
        <v/>
      </c>
      <c r="N58" s="22" t="str">
        <f>IF(I58="","",IFERROR(I58/F58,""))</f>
        <v/>
      </c>
      <c r="O58" s="2" t="str">
        <f>IF(I58="","Not Started",IF(I58&gt;=F58,"Complete","In Progress"))</f>
        <v>Not Started</v>
      </c>
      <c r="P58" s="19"/>
    </row>
    <row r="59" ht="20" customHeight="1" spans="1:16" x14ac:dyDescent="0.25">
      <c r="A59" s="2">
        <v>58</v>
      </c>
      <c r="B59" s="4">
        <v>46292</v>
      </c>
      <c r="C59" s="2" t="str">
        <f>TEXT(B59,"mmm yyyy")</f>
        <v>Sep 2026</v>
      </c>
      <c r="D59" s="2" t="str">
        <f>TEXT(B59,"ddd")</f>
        <v>Sun</v>
      </c>
      <c r="E59" s="17">
        <v>4</v>
      </c>
      <c r="F59" s="18">
        <v>3.28</v>
      </c>
      <c r="G59" s="18">
        <f>IFERROR(F59/E59,0)</f>
        <v>0.82</v>
      </c>
      <c r="H59" s="19"/>
      <c r="I59" s="20"/>
      <c r="J59" s="21" t="str">
        <f>IF(OR(H59="",I59=""),"",I59/H59)</f>
        <v/>
      </c>
      <c r="K59" s="18">
        <f>F59</f>
        <v>3.28</v>
      </c>
      <c r="L59" s="21" t="str">
        <f>IF(I59="","",I59)</f>
        <v/>
      </c>
      <c r="M59" s="21" t="str">
        <f>IF(I59="","",I59-F59)</f>
        <v/>
      </c>
      <c r="N59" s="22" t="str">
        <f>IF(I59="","",IFERROR(I59/F59,""))</f>
        <v/>
      </c>
      <c r="O59" s="2" t="str">
        <f>IF(I59="","Not Started",IF(I59&gt;=F59,"Complete","In Progress"))</f>
        <v>Not Started</v>
      </c>
      <c r="P59" s="19"/>
    </row>
    <row r="60" ht="20" customHeight="1" spans="1:16" x14ac:dyDescent="0.25">
      <c r="A60" s="2">
        <v>59</v>
      </c>
      <c r="B60" s="4">
        <v>46293</v>
      </c>
      <c r="C60" s="2" t="str">
        <f>TEXT(B60,"mmm yyyy")</f>
        <v>Sep 2026</v>
      </c>
      <c r="D60" s="2" t="str">
        <f>TEXT(B60,"ddd")</f>
        <v>Mon</v>
      </c>
      <c r="E60" s="17">
        <v>4</v>
      </c>
      <c r="F60" s="18">
        <v>3.28</v>
      </c>
      <c r="G60" s="18">
        <f>IFERROR(F60/E60,0)</f>
        <v>0.82</v>
      </c>
      <c r="H60" s="19"/>
      <c r="I60" s="20"/>
      <c r="J60" s="21" t="str">
        <f>IF(OR(H60="",I60=""),"",I60/H60)</f>
        <v/>
      </c>
      <c r="K60" s="18">
        <f>F60</f>
        <v>3.28</v>
      </c>
      <c r="L60" s="21" t="str">
        <f>IF(I60="","",I60)</f>
        <v/>
      </c>
      <c r="M60" s="21" t="str">
        <f>IF(I60="","",I60-F60)</f>
        <v/>
      </c>
      <c r="N60" s="22" t="str">
        <f>IF(I60="","",IFERROR(I60/F60,""))</f>
        <v/>
      </c>
      <c r="O60" s="2" t="str">
        <f>IF(I60="","Not Started",IF(I60&gt;=F60,"Complete","In Progress"))</f>
        <v>Not Started</v>
      </c>
      <c r="P60" s="19"/>
    </row>
    <row r="61" ht="20" customHeight="1" spans="1:16" x14ac:dyDescent="0.25">
      <c r="A61" s="2">
        <v>60</v>
      </c>
      <c r="B61" s="4">
        <v>46294</v>
      </c>
      <c r="C61" s="2" t="str">
        <f>TEXT(B61,"mmm yyyy")</f>
        <v>Sep 2026</v>
      </c>
      <c r="D61" s="2" t="str">
        <f>TEXT(B61,"ddd")</f>
        <v>Tue</v>
      </c>
      <c r="E61" s="17">
        <v>4</v>
      </c>
      <c r="F61" s="18">
        <v>3.28</v>
      </c>
      <c r="G61" s="18">
        <f>IFERROR(F61/E61,0)</f>
        <v>0.82</v>
      </c>
      <c r="H61" s="19"/>
      <c r="I61" s="20"/>
      <c r="J61" s="21" t="str">
        <f>IF(OR(H61="",I61=""),"",I61/H61)</f>
        <v/>
      </c>
      <c r="K61" s="18">
        <f>F61</f>
        <v>3.28</v>
      </c>
      <c r="L61" s="21" t="str">
        <f>IF(I61="","",I61)</f>
        <v/>
      </c>
      <c r="M61" s="21" t="str">
        <f>IF(I61="","",I61-F61)</f>
        <v/>
      </c>
      <c r="N61" s="22" t="str">
        <f>IF(I61="","",IFERROR(I61/F61,""))</f>
        <v/>
      </c>
      <c r="O61" s="2" t="str">
        <f>IF(I61="","Not Started",IF(I61&gt;=F61,"Complete","In Progress"))</f>
        <v>Not Started</v>
      </c>
      <c r="P61" s="19"/>
    </row>
    <row r="62" ht="20" customHeight="1" spans="1:16" x14ac:dyDescent="0.25">
      <c r="A62" s="2">
        <v>61</v>
      </c>
      <c r="B62" s="4">
        <v>46295</v>
      </c>
      <c r="C62" s="2" t="str">
        <f>TEXT(B62,"mmm yyyy")</f>
        <v>Sep 2026</v>
      </c>
      <c r="D62" s="2" t="str">
        <f>TEXT(B62,"ddd")</f>
        <v>Wed</v>
      </c>
      <c r="E62" s="17">
        <v>4</v>
      </c>
      <c r="F62" s="18">
        <v>3.28</v>
      </c>
      <c r="G62" s="18">
        <f>IFERROR(F62/E62,0)</f>
        <v>0.82</v>
      </c>
      <c r="H62" s="19"/>
      <c r="I62" s="20"/>
      <c r="J62" s="21" t="str">
        <f>IF(OR(H62="",I62=""),"",I62/H62)</f>
        <v/>
      </c>
      <c r="K62" s="18">
        <f>F62</f>
        <v>3.28</v>
      </c>
      <c r="L62" s="21" t="str">
        <f>IF(I62="","",I62)</f>
        <v/>
      </c>
      <c r="M62" s="21" t="str">
        <f>IF(I62="","",I62-F62)</f>
        <v/>
      </c>
      <c r="N62" s="22" t="str">
        <f>IF(I62="","",IFERROR(I62/F62,""))</f>
        <v/>
      </c>
      <c r="O62" s="2" t="str">
        <f>IF(I62="","Not Started",IF(I62&gt;=F62,"Complete","In Progress"))</f>
        <v>Not Started</v>
      </c>
      <c r="P62" s="19"/>
    </row>
    <row r="63" ht="20" customHeight="1" spans="1:16" x14ac:dyDescent="0.25">
      <c r="A63" s="2">
        <v>62</v>
      </c>
      <c r="B63" s="4">
        <v>46296</v>
      </c>
      <c r="C63" s="2" t="str">
        <f>TEXT(B63,"mmm yyyy")</f>
        <v>Oct 2026</v>
      </c>
      <c r="D63" s="2" t="str">
        <f>TEXT(B63,"ddd")</f>
        <v>Thu</v>
      </c>
      <c r="E63" s="17">
        <v>4</v>
      </c>
      <c r="F63" s="18">
        <v>3.28</v>
      </c>
      <c r="G63" s="18">
        <f>IFERROR(F63/E63,0)</f>
        <v>0.82</v>
      </c>
      <c r="H63" s="19"/>
      <c r="I63" s="20"/>
      <c r="J63" s="21" t="str">
        <f>IF(OR(H63="",I63=""),"",I63/H63)</f>
        <v/>
      </c>
      <c r="K63" s="18">
        <f>F63</f>
        <v>3.28</v>
      </c>
      <c r="L63" s="21" t="str">
        <f>IF(I63="","",I63)</f>
        <v/>
      </c>
      <c r="M63" s="21" t="str">
        <f>IF(I63="","",I63-F63)</f>
        <v/>
      </c>
      <c r="N63" s="22" t="str">
        <f>IF(I63="","",IFERROR(I63/F63,""))</f>
        <v/>
      </c>
      <c r="O63" s="2" t="str">
        <f>IF(I63="","Not Started",IF(I63&gt;=F63,"Complete","In Progress"))</f>
        <v>Not Started</v>
      </c>
      <c r="P63" s="19"/>
    </row>
    <row r="64" ht="20" customHeight="1" spans="1:16" x14ac:dyDescent="0.25">
      <c r="A64" s="2">
        <v>63</v>
      </c>
      <c r="B64" s="4">
        <v>46297</v>
      </c>
      <c r="C64" s="2" t="str">
        <f>TEXT(B64,"mmm yyyy")</f>
        <v>Oct 2026</v>
      </c>
      <c r="D64" s="2" t="str">
        <f>TEXT(B64,"ddd")</f>
        <v>Fri</v>
      </c>
      <c r="E64" s="17">
        <v>4</v>
      </c>
      <c r="F64" s="18">
        <v>3.28</v>
      </c>
      <c r="G64" s="18">
        <f>IFERROR(F64/E64,0)</f>
        <v>0.82</v>
      </c>
      <c r="H64" s="19"/>
      <c r="I64" s="20"/>
      <c r="J64" s="21" t="str">
        <f>IF(OR(H64="",I64=""),"",I64/H64)</f>
        <v/>
      </c>
      <c r="K64" s="18">
        <f>F64</f>
        <v>3.28</v>
      </c>
      <c r="L64" s="21" t="str">
        <f>IF(I64="","",I64)</f>
        <v/>
      </c>
      <c r="M64" s="21" t="str">
        <f>IF(I64="","",I64-F64)</f>
        <v/>
      </c>
      <c r="N64" s="22" t="str">
        <f>IF(I64="","",IFERROR(I64/F64,""))</f>
        <v/>
      </c>
      <c r="O64" s="2" t="str">
        <f>IF(I64="","Not Started",IF(I64&gt;=F64,"Complete","In Progress"))</f>
        <v>Not Started</v>
      </c>
      <c r="P64" s="19"/>
    </row>
    <row r="65" ht="20" customHeight="1" spans="1:16" x14ac:dyDescent="0.25">
      <c r="A65" s="2">
        <v>64</v>
      </c>
      <c r="B65" s="4">
        <v>46298</v>
      </c>
      <c r="C65" s="2" t="str">
        <f>TEXT(B65,"mmm yyyy")</f>
        <v>Oct 2026</v>
      </c>
      <c r="D65" s="2" t="str">
        <f>TEXT(B65,"ddd")</f>
        <v>Sat</v>
      </c>
      <c r="E65" s="17">
        <v>4</v>
      </c>
      <c r="F65" s="18">
        <v>3.28</v>
      </c>
      <c r="G65" s="18">
        <f>IFERROR(F65/E65,0)</f>
        <v>0.82</v>
      </c>
      <c r="H65" s="19"/>
      <c r="I65" s="20"/>
      <c r="J65" s="21" t="str">
        <f>IF(OR(H65="",I65=""),"",I65/H65)</f>
        <v/>
      </c>
      <c r="K65" s="18">
        <f>F65</f>
        <v>3.28</v>
      </c>
      <c r="L65" s="21" t="str">
        <f>IF(I65="","",I65)</f>
        <v/>
      </c>
      <c r="M65" s="21" t="str">
        <f>IF(I65="","",I65-F65)</f>
        <v/>
      </c>
      <c r="N65" s="22" t="str">
        <f>IF(I65="","",IFERROR(I65/F65,""))</f>
        <v/>
      </c>
      <c r="O65" s="2" t="str">
        <f>IF(I65="","Not Started",IF(I65&gt;=F65,"Complete","In Progress"))</f>
        <v>Not Started</v>
      </c>
      <c r="P65" s="19"/>
    </row>
    <row r="66" ht="20" customHeight="1" spans="1:16" x14ac:dyDescent="0.25">
      <c r="A66" s="2">
        <v>65</v>
      </c>
      <c r="B66" s="4">
        <v>46299</v>
      </c>
      <c r="C66" s="2" t="str">
        <f>TEXT(B66,"mmm yyyy")</f>
        <v>Oct 2026</v>
      </c>
      <c r="D66" s="2" t="str">
        <f>TEXT(B66,"ddd")</f>
        <v>Sun</v>
      </c>
      <c r="E66" s="17">
        <v>4</v>
      </c>
      <c r="F66" s="18">
        <v>3.28</v>
      </c>
      <c r="G66" s="18">
        <f>IFERROR(F66/E66,0)</f>
        <v>0.82</v>
      </c>
      <c r="H66" s="19"/>
      <c r="I66" s="20"/>
      <c r="J66" s="21" t="str">
        <f>IF(OR(H66="",I66=""),"",I66/H66)</f>
        <v/>
      </c>
      <c r="K66" s="18">
        <f>F66</f>
        <v>3.28</v>
      </c>
      <c r="L66" s="21" t="str">
        <f>IF(I66="","",I66)</f>
        <v/>
      </c>
      <c r="M66" s="21" t="str">
        <f>IF(I66="","",I66-F66)</f>
        <v/>
      </c>
      <c r="N66" s="22" t="str">
        <f>IF(I66="","",IFERROR(I66/F66,""))</f>
        <v/>
      </c>
      <c r="O66" s="2" t="str">
        <f>IF(I66="","Not Started",IF(I66&gt;=F66,"Complete","In Progress"))</f>
        <v>Not Started</v>
      </c>
      <c r="P66" s="19"/>
    </row>
    <row r="67" ht="20" customHeight="1" spans="1:16" x14ac:dyDescent="0.25">
      <c r="A67" s="2">
        <v>66</v>
      </c>
      <c r="B67" s="4">
        <v>46300</v>
      </c>
      <c r="C67" s="2" t="str">
        <f>TEXT(B67,"mmm yyyy")</f>
        <v>Oct 2026</v>
      </c>
      <c r="D67" s="2" t="str">
        <f>TEXT(B67,"ddd")</f>
        <v>Mon</v>
      </c>
      <c r="E67" s="17">
        <v>4</v>
      </c>
      <c r="F67" s="18">
        <v>3.28</v>
      </c>
      <c r="G67" s="18">
        <f>IFERROR(F67/E67,0)</f>
        <v>0.82</v>
      </c>
      <c r="H67" s="19"/>
      <c r="I67" s="20"/>
      <c r="J67" s="21" t="str">
        <f>IF(OR(H67="",I67=""),"",I67/H67)</f>
        <v/>
      </c>
      <c r="K67" s="18">
        <f>F67</f>
        <v>3.28</v>
      </c>
      <c r="L67" s="21" t="str">
        <f>IF(I67="","",I67)</f>
        <v/>
      </c>
      <c r="M67" s="21" t="str">
        <f>IF(I67="","",I67-F67)</f>
        <v/>
      </c>
      <c r="N67" s="22" t="str">
        <f>IF(I67="","",IFERROR(I67/F67,""))</f>
        <v/>
      </c>
      <c r="O67" s="2" t="str">
        <f>IF(I67="","Not Started",IF(I67&gt;=F67,"Complete","In Progress"))</f>
        <v>Not Started</v>
      </c>
      <c r="P67" s="19"/>
    </row>
    <row r="68" ht="20" customHeight="1" spans="1:16" x14ac:dyDescent="0.25">
      <c r="A68" s="2">
        <v>67</v>
      </c>
      <c r="B68" s="4">
        <v>46301</v>
      </c>
      <c r="C68" s="2" t="str">
        <f>TEXT(B68,"mmm yyyy")</f>
        <v>Oct 2026</v>
      </c>
      <c r="D68" s="2" t="str">
        <f>TEXT(B68,"ddd")</f>
        <v>Tue</v>
      </c>
      <c r="E68" s="17">
        <v>4</v>
      </c>
      <c r="F68" s="18">
        <v>3.28</v>
      </c>
      <c r="G68" s="18">
        <f>IFERROR(F68/E68,0)</f>
        <v>0.82</v>
      </c>
      <c r="H68" s="19"/>
      <c r="I68" s="20"/>
      <c r="J68" s="21" t="str">
        <f>IF(OR(H68="",I68=""),"",I68/H68)</f>
        <v/>
      </c>
      <c r="K68" s="18">
        <f>F68</f>
        <v>3.28</v>
      </c>
      <c r="L68" s="21" t="str">
        <f>IF(I68="","",I68)</f>
        <v/>
      </c>
      <c r="M68" s="21" t="str">
        <f>IF(I68="","",I68-F68)</f>
        <v/>
      </c>
      <c r="N68" s="22" t="str">
        <f>IF(I68="","",IFERROR(I68/F68,""))</f>
        <v/>
      </c>
      <c r="O68" s="2" t="str">
        <f>IF(I68="","Not Started",IF(I68&gt;=F68,"Complete","In Progress"))</f>
        <v>Not Started</v>
      </c>
      <c r="P68" s="19"/>
    </row>
    <row r="69" ht="20" customHeight="1" spans="1:16" x14ac:dyDescent="0.25">
      <c r="A69" s="2">
        <v>68</v>
      </c>
      <c r="B69" s="4">
        <v>46302</v>
      </c>
      <c r="C69" s="2" t="str">
        <f>TEXT(B69,"mmm yyyy")</f>
        <v>Oct 2026</v>
      </c>
      <c r="D69" s="2" t="str">
        <f>TEXT(B69,"ddd")</f>
        <v>Wed</v>
      </c>
      <c r="E69" s="17">
        <v>4</v>
      </c>
      <c r="F69" s="18">
        <v>3.28</v>
      </c>
      <c r="G69" s="18">
        <f>IFERROR(F69/E69,0)</f>
        <v>0.82</v>
      </c>
      <c r="H69" s="19"/>
      <c r="I69" s="20"/>
      <c r="J69" s="21" t="str">
        <f>IF(OR(H69="",I69=""),"",I69/H69)</f>
        <v/>
      </c>
      <c r="K69" s="18">
        <f>F69</f>
        <v>3.28</v>
      </c>
      <c r="L69" s="21" t="str">
        <f>IF(I69="","",I69)</f>
        <v/>
      </c>
      <c r="M69" s="21" t="str">
        <f>IF(I69="","",I69-F69)</f>
        <v/>
      </c>
      <c r="N69" s="22" t="str">
        <f>IF(I69="","",IFERROR(I69/F69,""))</f>
        <v/>
      </c>
      <c r="O69" s="2" t="str">
        <f>IF(I69="","Not Started",IF(I69&gt;=F69,"Complete","In Progress"))</f>
        <v>Not Started</v>
      </c>
      <c r="P69" s="19"/>
    </row>
    <row r="70" ht="20" customHeight="1" spans="1:16" x14ac:dyDescent="0.25">
      <c r="A70" s="2">
        <v>69</v>
      </c>
      <c r="B70" s="4">
        <v>46303</v>
      </c>
      <c r="C70" s="2" t="str">
        <f>TEXT(B70,"mmm yyyy")</f>
        <v>Oct 2026</v>
      </c>
      <c r="D70" s="2" t="str">
        <f>TEXT(B70,"ddd")</f>
        <v>Thu</v>
      </c>
      <c r="E70" s="17">
        <v>4</v>
      </c>
      <c r="F70" s="18">
        <v>3.28</v>
      </c>
      <c r="G70" s="18">
        <f>IFERROR(F70/E70,0)</f>
        <v>0.82</v>
      </c>
      <c r="H70" s="19"/>
      <c r="I70" s="20"/>
      <c r="J70" s="21" t="str">
        <f>IF(OR(H70="",I70=""),"",I70/H70)</f>
        <v/>
      </c>
      <c r="K70" s="18">
        <f>F70</f>
        <v>3.28</v>
      </c>
      <c r="L70" s="21" t="str">
        <f>IF(I70="","",I70)</f>
        <v/>
      </c>
      <c r="M70" s="21" t="str">
        <f>IF(I70="","",I70-F70)</f>
        <v/>
      </c>
      <c r="N70" s="22" t="str">
        <f>IF(I70="","",IFERROR(I70/F70,""))</f>
        <v/>
      </c>
      <c r="O70" s="2" t="str">
        <f>IF(I70="","Not Started",IF(I70&gt;=F70,"Complete","In Progress"))</f>
        <v>Not Started</v>
      </c>
      <c r="P70" s="19"/>
    </row>
    <row r="71" ht="20" customHeight="1" spans="1:16" x14ac:dyDescent="0.25">
      <c r="A71" s="2">
        <v>70</v>
      </c>
      <c r="B71" s="4">
        <v>46304</v>
      </c>
      <c r="C71" s="2" t="str">
        <f>TEXT(B71,"mmm yyyy")</f>
        <v>Oct 2026</v>
      </c>
      <c r="D71" s="2" t="str">
        <f>TEXT(B71,"ddd")</f>
        <v>Fri</v>
      </c>
      <c r="E71" s="17">
        <v>4</v>
      </c>
      <c r="F71" s="18">
        <v>3.28</v>
      </c>
      <c r="G71" s="18">
        <f>IFERROR(F71/E71,0)</f>
        <v>0.82</v>
      </c>
      <c r="H71" s="19"/>
      <c r="I71" s="20"/>
      <c r="J71" s="21" t="str">
        <f>IF(OR(H71="",I71=""),"",I71/H71)</f>
        <v/>
      </c>
      <c r="K71" s="18">
        <f>F71</f>
        <v>3.28</v>
      </c>
      <c r="L71" s="21" t="str">
        <f>IF(I71="","",I71)</f>
        <v/>
      </c>
      <c r="M71" s="21" t="str">
        <f>IF(I71="","",I71-F71)</f>
        <v/>
      </c>
      <c r="N71" s="22" t="str">
        <f>IF(I71="","",IFERROR(I71/F71,""))</f>
        <v/>
      </c>
      <c r="O71" s="2" t="str">
        <f>IF(I71="","Not Started",IF(I71&gt;=F71,"Complete","In Progress"))</f>
        <v>Not Started</v>
      </c>
      <c r="P71" s="19"/>
    </row>
    <row r="72" ht="20" customHeight="1" spans="1:16" x14ac:dyDescent="0.25">
      <c r="A72" s="2">
        <v>71</v>
      </c>
      <c r="B72" s="4">
        <v>46305</v>
      </c>
      <c r="C72" s="2" t="str">
        <f>TEXT(B72,"mmm yyyy")</f>
        <v>Oct 2026</v>
      </c>
      <c r="D72" s="2" t="str">
        <f>TEXT(B72,"ddd")</f>
        <v>Sat</v>
      </c>
      <c r="E72" s="17">
        <v>4</v>
      </c>
      <c r="F72" s="18">
        <v>3.28</v>
      </c>
      <c r="G72" s="18">
        <f>IFERROR(F72/E72,0)</f>
        <v>0.82</v>
      </c>
      <c r="H72" s="19"/>
      <c r="I72" s="20"/>
      <c r="J72" s="21" t="str">
        <f>IF(OR(H72="",I72=""),"",I72/H72)</f>
        <v/>
      </c>
      <c r="K72" s="18">
        <f>F72</f>
        <v>3.28</v>
      </c>
      <c r="L72" s="21" t="str">
        <f>IF(I72="","",I72)</f>
        <v/>
      </c>
      <c r="M72" s="21" t="str">
        <f>IF(I72="","",I72-F72)</f>
        <v/>
      </c>
      <c r="N72" s="22" t="str">
        <f>IF(I72="","",IFERROR(I72/F72,""))</f>
        <v/>
      </c>
      <c r="O72" s="2" t="str">
        <f>IF(I72="","Not Started",IF(I72&gt;=F72,"Complete","In Progress"))</f>
        <v>Not Started</v>
      </c>
      <c r="P72" s="19"/>
    </row>
    <row r="73" ht="20" customHeight="1" spans="1:16" x14ac:dyDescent="0.25">
      <c r="A73" s="2">
        <v>72</v>
      </c>
      <c r="B73" s="4">
        <v>46306</v>
      </c>
      <c r="C73" s="2" t="str">
        <f>TEXT(B73,"mmm yyyy")</f>
        <v>Oct 2026</v>
      </c>
      <c r="D73" s="2" t="str">
        <f>TEXT(B73,"ddd")</f>
        <v>Sun</v>
      </c>
      <c r="E73" s="17">
        <v>4</v>
      </c>
      <c r="F73" s="18">
        <v>3.28</v>
      </c>
      <c r="G73" s="18">
        <f>IFERROR(F73/E73,0)</f>
        <v>0.82</v>
      </c>
      <c r="H73" s="19"/>
      <c r="I73" s="20"/>
      <c r="J73" s="21" t="str">
        <f>IF(OR(H73="",I73=""),"",I73/H73)</f>
        <v/>
      </c>
      <c r="K73" s="18">
        <f>F73</f>
        <v>3.28</v>
      </c>
      <c r="L73" s="21" t="str">
        <f>IF(I73="","",I73)</f>
        <v/>
      </c>
      <c r="M73" s="21" t="str">
        <f>IF(I73="","",I73-F73)</f>
        <v/>
      </c>
      <c r="N73" s="22" t="str">
        <f>IF(I73="","",IFERROR(I73/F73,""))</f>
        <v/>
      </c>
      <c r="O73" s="2" t="str">
        <f>IF(I73="","Not Started",IF(I73&gt;=F73,"Complete","In Progress"))</f>
        <v>Not Started</v>
      </c>
      <c r="P73" s="19"/>
    </row>
    <row r="74" ht="20" customHeight="1" spans="1:16" x14ac:dyDescent="0.25">
      <c r="A74" s="2">
        <v>73</v>
      </c>
      <c r="B74" s="4">
        <v>46307</v>
      </c>
      <c r="C74" s="2" t="str">
        <f>TEXT(B74,"mmm yyyy")</f>
        <v>Oct 2026</v>
      </c>
      <c r="D74" s="2" t="str">
        <f>TEXT(B74,"ddd")</f>
        <v>Mon</v>
      </c>
      <c r="E74" s="17">
        <v>4</v>
      </c>
      <c r="F74" s="18">
        <v>3.28</v>
      </c>
      <c r="G74" s="18">
        <f>IFERROR(F74/E74,0)</f>
        <v>0.82</v>
      </c>
      <c r="H74" s="19"/>
      <c r="I74" s="20"/>
      <c r="J74" s="21" t="str">
        <f>IF(OR(H74="",I74=""),"",I74/H74)</f>
        <v/>
      </c>
      <c r="K74" s="18">
        <f>F74</f>
        <v>3.28</v>
      </c>
      <c r="L74" s="21" t="str">
        <f>IF(I74="","",I74)</f>
        <v/>
      </c>
      <c r="M74" s="21" t="str">
        <f>IF(I74="","",I74-F74)</f>
        <v/>
      </c>
      <c r="N74" s="22" t="str">
        <f>IF(I74="","",IFERROR(I74/F74,""))</f>
        <v/>
      </c>
      <c r="O74" s="2" t="str">
        <f>IF(I74="","Not Started",IF(I74&gt;=F74,"Complete","In Progress"))</f>
        <v>Not Started</v>
      </c>
      <c r="P74" s="19"/>
    </row>
    <row r="75" ht="20" customHeight="1" spans="1:16" x14ac:dyDescent="0.25">
      <c r="A75" s="2">
        <v>74</v>
      </c>
      <c r="B75" s="4">
        <v>46308</v>
      </c>
      <c r="C75" s="2" t="str">
        <f>TEXT(B75,"mmm yyyy")</f>
        <v>Oct 2026</v>
      </c>
      <c r="D75" s="2" t="str">
        <f>TEXT(B75,"ddd")</f>
        <v>Tue</v>
      </c>
      <c r="E75" s="17">
        <v>4</v>
      </c>
      <c r="F75" s="18">
        <v>3.28</v>
      </c>
      <c r="G75" s="18">
        <f>IFERROR(F75/E75,0)</f>
        <v>0.82</v>
      </c>
      <c r="H75" s="19"/>
      <c r="I75" s="20"/>
      <c r="J75" s="21" t="str">
        <f>IF(OR(H75="",I75=""),"",I75/H75)</f>
        <v/>
      </c>
      <c r="K75" s="18">
        <f>F75</f>
        <v>3.28</v>
      </c>
      <c r="L75" s="21" t="str">
        <f>IF(I75="","",I75)</f>
        <v/>
      </c>
      <c r="M75" s="21" t="str">
        <f>IF(I75="","",I75-F75)</f>
        <v/>
      </c>
      <c r="N75" s="22" t="str">
        <f>IF(I75="","",IFERROR(I75/F75,""))</f>
        <v/>
      </c>
      <c r="O75" s="2" t="str">
        <f>IF(I75="","Not Started",IF(I75&gt;=F75,"Complete","In Progress"))</f>
        <v>Not Started</v>
      </c>
      <c r="P75" s="19"/>
    </row>
    <row r="76" ht="20" customHeight="1" spans="1:16" x14ac:dyDescent="0.25">
      <c r="A76" s="2">
        <v>75</v>
      </c>
      <c r="B76" s="4">
        <v>46309</v>
      </c>
      <c r="C76" s="2" t="str">
        <f>TEXT(B76,"mmm yyyy")</f>
        <v>Oct 2026</v>
      </c>
      <c r="D76" s="2" t="str">
        <f>TEXT(B76,"ddd")</f>
        <v>Wed</v>
      </c>
      <c r="E76" s="17">
        <v>4</v>
      </c>
      <c r="F76" s="18">
        <v>3.28</v>
      </c>
      <c r="G76" s="18">
        <f>IFERROR(F76/E76,0)</f>
        <v>0.82</v>
      </c>
      <c r="H76" s="19"/>
      <c r="I76" s="20"/>
      <c r="J76" s="21" t="str">
        <f>IF(OR(H76="",I76=""),"",I76/H76)</f>
        <v/>
      </c>
      <c r="K76" s="18">
        <f>F76</f>
        <v>3.28</v>
      </c>
      <c r="L76" s="21" t="str">
        <f>IF(I76="","",I76)</f>
        <v/>
      </c>
      <c r="M76" s="21" t="str">
        <f>IF(I76="","",I76-F76)</f>
        <v/>
      </c>
      <c r="N76" s="22" t="str">
        <f>IF(I76="","",IFERROR(I76/F76,""))</f>
        <v/>
      </c>
      <c r="O76" s="2" t="str">
        <f>IF(I76="","Not Started",IF(I76&gt;=F76,"Complete","In Progress"))</f>
        <v>Not Started</v>
      </c>
      <c r="P76" s="19"/>
    </row>
    <row r="77" ht="20" customHeight="1" spans="1:16" x14ac:dyDescent="0.25">
      <c r="A77" s="2">
        <v>76</v>
      </c>
      <c r="B77" s="4">
        <v>46310</v>
      </c>
      <c r="C77" s="2" t="str">
        <f>TEXT(B77,"mmm yyyy")</f>
        <v>Oct 2026</v>
      </c>
      <c r="D77" s="2" t="str">
        <f>TEXT(B77,"ddd")</f>
        <v>Thu</v>
      </c>
      <c r="E77" s="17">
        <v>4</v>
      </c>
      <c r="F77" s="18">
        <v>3.28</v>
      </c>
      <c r="G77" s="18">
        <f>IFERROR(F77/E77,0)</f>
        <v>0.82</v>
      </c>
      <c r="H77" s="19"/>
      <c r="I77" s="20"/>
      <c r="J77" s="21" t="str">
        <f>IF(OR(H77="",I77=""),"",I77/H77)</f>
        <v/>
      </c>
      <c r="K77" s="18">
        <f>F77</f>
        <v>3.28</v>
      </c>
      <c r="L77" s="21" t="str">
        <f>IF(I77="","",I77)</f>
        <v/>
      </c>
      <c r="M77" s="21" t="str">
        <f>IF(I77="","",I77-F77)</f>
        <v/>
      </c>
      <c r="N77" s="22" t="str">
        <f>IF(I77="","",IFERROR(I77/F77,""))</f>
        <v/>
      </c>
      <c r="O77" s="2" t="str">
        <f>IF(I77="","Not Started",IF(I77&gt;=F77,"Complete","In Progress"))</f>
        <v>Not Started</v>
      </c>
      <c r="P77" s="19"/>
    </row>
    <row r="78" ht="20" customHeight="1" spans="1:16" x14ac:dyDescent="0.25">
      <c r="A78" s="2">
        <v>77</v>
      </c>
      <c r="B78" s="4">
        <v>46311</v>
      </c>
      <c r="C78" s="2" t="str">
        <f>TEXT(B78,"mmm yyyy")</f>
        <v>Oct 2026</v>
      </c>
      <c r="D78" s="2" t="str">
        <f>TEXT(B78,"ddd")</f>
        <v>Fri</v>
      </c>
      <c r="E78" s="17">
        <v>4</v>
      </c>
      <c r="F78" s="18">
        <v>3.28</v>
      </c>
      <c r="G78" s="18">
        <f>IFERROR(F78/E78,0)</f>
        <v>0.82</v>
      </c>
      <c r="H78" s="19"/>
      <c r="I78" s="20"/>
      <c r="J78" s="21" t="str">
        <f>IF(OR(H78="",I78=""),"",I78/H78)</f>
        <v/>
      </c>
      <c r="K78" s="18">
        <f>F78</f>
        <v>3.28</v>
      </c>
      <c r="L78" s="21" t="str">
        <f>IF(I78="","",I78)</f>
        <v/>
      </c>
      <c r="M78" s="21" t="str">
        <f>IF(I78="","",I78-F78)</f>
        <v/>
      </c>
      <c r="N78" s="22" t="str">
        <f>IF(I78="","",IFERROR(I78/F78,""))</f>
        <v/>
      </c>
      <c r="O78" s="2" t="str">
        <f>IF(I78="","Not Started",IF(I78&gt;=F78,"Complete","In Progress"))</f>
        <v>Not Started</v>
      </c>
      <c r="P78" s="19"/>
    </row>
    <row r="79" ht="20" customHeight="1" spans="1:16" x14ac:dyDescent="0.25">
      <c r="A79" s="2">
        <v>78</v>
      </c>
      <c r="B79" s="4">
        <v>46312</v>
      </c>
      <c r="C79" s="2" t="str">
        <f>TEXT(B79,"mmm yyyy")</f>
        <v>Oct 2026</v>
      </c>
      <c r="D79" s="2" t="str">
        <f>TEXT(B79,"ddd")</f>
        <v>Sat</v>
      </c>
      <c r="E79" s="17">
        <v>4</v>
      </c>
      <c r="F79" s="18">
        <v>3.28</v>
      </c>
      <c r="G79" s="18">
        <f>IFERROR(F79/E79,0)</f>
        <v>0.82</v>
      </c>
      <c r="H79" s="19"/>
      <c r="I79" s="20"/>
      <c r="J79" s="21" t="str">
        <f>IF(OR(H79="",I79=""),"",I79/H79)</f>
        <v/>
      </c>
      <c r="K79" s="18">
        <f>F79</f>
        <v>3.28</v>
      </c>
      <c r="L79" s="21" t="str">
        <f>IF(I79="","",I79)</f>
        <v/>
      </c>
      <c r="M79" s="21" t="str">
        <f>IF(I79="","",I79-F79)</f>
        <v/>
      </c>
      <c r="N79" s="22" t="str">
        <f>IF(I79="","",IFERROR(I79/F79,""))</f>
        <v/>
      </c>
      <c r="O79" s="2" t="str">
        <f>IF(I79="","Not Started",IF(I79&gt;=F79,"Complete","In Progress"))</f>
        <v>Not Started</v>
      </c>
      <c r="P79" s="19"/>
    </row>
    <row r="80" ht="20" customHeight="1" spans="1:16" x14ac:dyDescent="0.25">
      <c r="A80" s="2">
        <v>79</v>
      </c>
      <c r="B80" s="4">
        <v>46313</v>
      </c>
      <c r="C80" s="2" t="str">
        <f>TEXT(B80,"mmm yyyy")</f>
        <v>Oct 2026</v>
      </c>
      <c r="D80" s="2" t="str">
        <f>TEXT(B80,"ddd")</f>
        <v>Sun</v>
      </c>
      <c r="E80" s="17">
        <v>4</v>
      </c>
      <c r="F80" s="18">
        <v>3.28</v>
      </c>
      <c r="G80" s="18">
        <f>IFERROR(F80/E80,0)</f>
        <v>0.82</v>
      </c>
      <c r="H80" s="19"/>
      <c r="I80" s="20"/>
      <c r="J80" s="21" t="str">
        <f>IF(OR(H80="",I80=""),"",I80/H80)</f>
        <v/>
      </c>
      <c r="K80" s="18">
        <f>F80</f>
        <v>3.28</v>
      </c>
      <c r="L80" s="21" t="str">
        <f>IF(I80="","",I80)</f>
        <v/>
      </c>
      <c r="M80" s="21" t="str">
        <f>IF(I80="","",I80-F80)</f>
        <v/>
      </c>
      <c r="N80" s="22" t="str">
        <f>IF(I80="","",IFERROR(I80/F80,""))</f>
        <v/>
      </c>
      <c r="O80" s="2" t="str">
        <f>IF(I80="","Not Started",IF(I80&gt;=F80,"Complete","In Progress"))</f>
        <v>Not Started</v>
      </c>
      <c r="P80" s="19"/>
    </row>
    <row r="81" ht="20" customHeight="1" spans="1:16" x14ac:dyDescent="0.25">
      <c r="A81" s="2">
        <v>80</v>
      </c>
      <c r="B81" s="4">
        <v>46314</v>
      </c>
      <c r="C81" s="2" t="str">
        <f>TEXT(B81,"mmm yyyy")</f>
        <v>Oct 2026</v>
      </c>
      <c r="D81" s="2" t="str">
        <f>TEXT(B81,"ddd")</f>
        <v>Mon</v>
      </c>
      <c r="E81" s="17">
        <v>4</v>
      </c>
      <c r="F81" s="18">
        <v>3.28</v>
      </c>
      <c r="G81" s="18">
        <f>IFERROR(F81/E81,0)</f>
        <v>0.82</v>
      </c>
      <c r="H81" s="19"/>
      <c r="I81" s="20"/>
      <c r="J81" s="21" t="str">
        <f>IF(OR(H81="",I81=""),"",I81/H81)</f>
        <v/>
      </c>
      <c r="K81" s="18">
        <f>F81</f>
        <v>3.28</v>
      </c>
      <c r="L81" s="21" t="str">
        <f>IF(I81="","",I81)</f>
        <v/>
      </c>
      <c r="M81" s="21" t="str">
        <f>IF(I81="","",I81-F81)</f>
        <v/>
      </c>
      <c r="N81" s="22" t="str">
        <f>IF(I81="","",IFERROR(I81/F81,""))</f>
        <v/>
      </c>
      <c r="O81" s="2" t="str">
        <f>IF(I81="","Not Started",IF(I81&gt;=F81,"Complete","In Progress"))</f>
        <v>Not Started</v>
      </c>
      <c r="P81" s="19"/>
    </row>
    <row r="82" ht="20" customHeight="1" spans="1:16" x14ac:dyDescent="0.25">
      <c r="A82" s="2">
        <v>81</v>
      </c>
      <c r="B82" s="4">
        <v>46315</v>
      </c>
      <c r="C82" s="2" t="str">
        <f>TEXT(B82,"mmm yyyy")</f>
        <v>Oct 2026</v>
      </c>
      <c r="D82" s="2" t="str">
        <f>TEXT(B82,"ddd")</f>
        <v>Tue</v>
      </c>
      <c r="E82" s="17">
        <v>4</v>
      </c>
      <c r="F82" s="18">
        <v>3.28</v>
      </c>
      <c r="G82" s="18">
        <f>IFERROR(F82/E82,0)</f>
        <v>0.82</v>
      </c>
      <c r="H82" s="19"/>
      <c r="I82" s="20"/>
      <c r="J82" s="21" t="str">
        <f>IF(OR(H82="",I82=""),"",I82/H82)</f>
        <v/>
      </c>
      <c r="K82" s="18">
        <f>F82</f>
        <v>3.28</v>
      </c>
      <c r="L82" s="21" t="str">
        <f>IF(I82="","",I82)</f>
        <v/>
      </c>
      <c r="M82" s="21" t="str">
        <f>IF(I82="","",I82-F82)</f>
        <v/>
      </c>
      <c r="N82" s="22" t="str">
        <f>IF(I82="","",IFERROR(I82/F82,""))</f>
        <v/>
      </c>
      <c r="O82" s="2" t="str">
        <f>IF(I82="","Not Started",IF(I82&gt;=F82,"Complete","In Progress"))</f>
        <v>Not Started</v>
      </c>
      <c r="P82" s="19"/>
    </row>
    <row r="83" ht="20" customHeight="1" spans="1:16" x14ac:dyDescent="0.25">
      <c r="A83" s="2">
        <v>82</v>
      </c>
      <c r="B83" s="4">
        <v>46316</v>
      </c>
      <c r="C83" s="2" t="str">
        <f>TEXT(B83,"mmm yyyy")</f>
        <v>Oct 2026</v>
      </c>
      <c r="D83" s="2" t="str">
        <f>TEXT(B83,"ddd")</f>
        <v>Wed</v>
      </c>
      <c r="E83" s="17">
        <v>4</v>
      </c>
      <c r="F83" s="18">
        <v>3.28</v>
      </c>
      <c r="G83" s="18">
        <f>IFERROR(F83/E83,0)</f>
        <v>0.82</v>
      </c>
      <c r="H83" s="19"/>
      <c r="I83" s="20"/>
      <c r="J83" s="21" t="str">
        <f>IF(OR(H83="",I83=""),"",I83/H83)</f>
        <v/>
      </c>
      <c r="K83" s="18">
        <f>F83</f>
        <v>3.28</v>
      </c>
      <c r="L83" s="21" t="str">
        <f>IF(I83="","",I83)</f>
        <v/>
      </c>
      <c r="M83" s="21" t="str">
        <f>IF(I83="","",I83-F83)</f>
        <v/>
      </c>
      <c r="N83" s="22" t="str">
        <f>IF(I83="","",IFERROR(I83/F83,""))</f>
        <v/>
      </c>
      <c r="O83" s="2" t="str">
        <f>IF(I83="","Not Started",IF(I83&gt;=F83,"Complete","In Progress"))</f>
        <v>Not Started</v>
      </c>
      <c r="P83" s="19"/>
    </row>
    <row r="84" ht="20" customHeight="1" spans="1:16" x14ac:dyDescent="0.25">
      <c r="A84" s="2">
        <v>83</v>
      </c>
      <c r="B84" s="4">
        <v>46317</v>
      </c>
      <c r="C84" s="2" t="str">
        <f>TEXT(B84,"mmm yyyy")</f>
        <v>Oct 2026</v>
      </c>
      <c r="D84" s="2" t="str">
        <f>TEXT(B84,"ddd")</f>
        <v>Thu</v>
      </c>
      <c r="E84" s="17">
        <v>4</v>
      </c>
      <c r="F84" s="18">
        <v>3.28</v>
      </c>
      <c r="G84" s="18">
        <f>IFERROR(F84/E84,0)</f>
        <v>0.82</v>
      </c>
      <c r="H84" s="19"/>
      <c r="I84" s="20"/>
      <c r="J84" s="21" t="str">
        <f>IF(OR(H84="",I84=""),"",I84/H84)</f>
        <v/>
      </c>
      <c r="K84" s="18">
        <f>F84</f>
        <v>3.28</v>
      </c>
      <c r="L84" s="21" t="str">
        <f>IF(I84="","",I84)</f>
        <v/>
      </c>
      <c r="M84" s="21" t="str">
        <f>IF(I84="","",I84-F84)</f>
        <v/>
      </c>
      <c r="N84" s="22" t="str">
        <f>IF(I84="","",IFERROR(I84/F84,""))</f>
        <v/>
      </c>
      <c r="O84" s="2" t="str">
        <f>IF(I84="","Not Started",IF(I84&gt;=F84,"Complete","In Progress"))</f>
        <v>Not Started</v>
      </c>
      <c r="P84" s="19"/>
    </row>
    <row r="85" ht="20" customHeight="1" spans="1:16" x14ac:dyDescent="0.25">
      <c r="A85" s="2">
        <v>84</v>
      </c>
      <c r="B85" s="4">
        <v>46318</v>
      </c>
      <c r="C85" s="2" t="str">
        <f>TEXT(B85,"mmm yyyy")</f>
        <v>Oct 2026</v>
      </c>
      <c r="D85" s="2" t="str">
        <f>TEXT(B85,"ddd")</f>
        <v>Fri</v>
      </c>
      <c r="E85" s="17">
        <v>4</v>
      </c>
      <c r="F85" s="18">
        <v>3.28</v>
      </c>
      <c r="G85" s="18">
        <f>IFERROR(F85/E85,0)</f>
        <v>0.82</v>
      </c>
      <c r="H85" s="19"/>
      <c r="I85" s="20"/>
      <c r="J85" s="21" t="str">
        <f>IF(OR(H85="",I85=""),"",I85/H85)</f>
        <v/>
      </c>
      <c r="K85" s="18">
        <f>F85</f>
        <v>3.28</v>
      </c>
      <c r="L85" s="21" t="str">
        <f>IF(I85="","",I85)</f>
        <v/>
      </c>
      <c r="M85" s="21" t="str">
        <f>IF(I85="","",I85-F85)</f>
        <v/>
      </c>
      <c r="N85" s="22" t="str">
        <f>IF(I85="","",IFERROR(I85/F85,""))</f>
        <v/>
      </c>
      <c r="O85" s="2" t="str">
        <f>IF(I85="","Not Started",IF(I85&gt;=F85,"Complete","In Progress"))</f>
        <v>Not Started</v>
      </c>
      <c r="P85" s="19"/>
    </row>
    <row r="86" ht="20" customHeight="1" spans="1:16" x14ac:dyDescent="0.25">
      <c r="A86" s="2">
        <v>85</v>
      </c>
      <c r="B86" s="4">
        <v>46319</v>
      </c>
      <c r="C86" s="2" t="str">
        <f>TEXT(B86,"mmm yyyy")</f>
        <v>Oct 2026</v>
      </c>
      <c r="D86" s="2" t="str">
        <f>TEXT(B86,"ddd")</f>
        <v>Sat</v>
      </c>
      <c r="E86" s="17">
        <v>4</v>
      </c>
      <c r="F86" s="18">
        <v>3.28</v>
      </c>
      <c r="G86" s="18">
        <f>IFERROR(F86/E86,0)</f>
        <v>0.82</v>
      </c>
      <c r="H86" s="19"/>
      <c r="I86" s="20"/>
      <c r="J86" s="21" t="str">
        <f>IF(OR(H86="",I86=""),"",I86/H86)</f>
        <v/>
      </c>
      <c r="K86" s="18">
        <f>F86</f>
        <v>3.28</v>
      </c>
      <c r="L86" s="21" t="str">
        <f>IF(I86="","",I86)</f>
        <v/>
      </c>
      <c r="M86" s="21" t="str">
        <f>IF(I86="","",I86-F86)</f>
        <v/>
      </c>
      <c r="N86" s="22" t="str">
        <f>IF(I86="","",IFERROR(I86/F86,""))</f>
        <v/>
      </c>
      <c r="O86" s="2" t="str">
        <f>IF(I86="","Not Started",IF(I86&gt;=F86,"Complete","In Progress"))</f>
        <v>Not Started</v>
      </c>
      <c r="P86" s="19"/>
    </row>
    <row r="87" ht="20" customHeight="1" spans="1:16" x14ac:dyDescent="0.25">
      <c r="A87" s="2">
        <v>86</v>
      </c>
      <c r="B87" s="4">
        <v>46320</v>
      </c>
      <c r="C87" s="2" t="str">
        <f>TEXT(B87,"mmm yyyy")</f>
        <v>Oct 2026</v>
      </c>
      <c r="D87" s="2" t="str">
        <f>TEXT(B87,"ddd")</f>
        <v>Sun</v>
      </c>
      <c r="E87" s="17">
        <v>4</v>
      </c>
      <c r="F87" s="18">
        <v>3.28</v>
      </c>
      <c r="G87" s="18">
        <f>IFERROR(F87/E87,0)</f>
        <v>0.82</v>
      </c>
      <c r="H87" s="19"/>
      <c r="I87" s="20"/>
      <c r="J87" s="21" t="str">
        <f>IF(OR(H87="",I87=""),"",I87/H87)</f>
        <v/>
      </c>
      <c r="K87" s="18">
        <f>F87</f>
        <v>3.28</v>
      </c>
      <c r="L87" s="21" t="str">
        <f>IF(I87="","",I87)</f>
        <v/>
      </c>
      <c r="M87" s="21" t="str">
        <f>IF(I87="","",I87-F87)</f>
        <v/>
      </c>
      <c r="N87" s="22" t="str">
        <f>IF(I87="","",IFERROR(I87/F87,""))</f>
        <v/>
      </c>
      <c r="O87" s="2" t="str">
        <f>IF(I87="","Not Started",IF(I87&gt;=F87,"Complete","In Progress"))</f>
        <v>Not Started</v>
      </c>
      <c r="P87" s="19"/>
    </row>
    <row r="88" ht="20" customHeight="1" spans="1:16" x14ac:dyDescent="0.25">
      <c r="A88" s="2">
        <v>87</v>
      </c>
      <c r="B88" s="4">
        <v>46321</v>
      </c>
      <c r="C88" s="2" t="str">
        <f>TEXT(B88,"mmm yyyy")</f>
        <v>Oct 2026</v>
      </c>
      <c r="D88" s="2" t="str">
        <f>TEXT(B88,"ddd")</f>
        <v>Mon</v>
      </c>
      <c r="E88" s="17">
        <v>4</v>
      </c>
      <c r="F88" s="18">
        <v>3.28</v>
      </c>
      <c r="G88" s="18">
        <f>IFERROR(F88/E88,0)</f>
        <v>0.82</v>
      </c>
      <c r="H88" s="19"/>
      <c r="I88" s="20"/>
      <c r="J88" s="21" t="str">
        <f>IF(OR(H88="",I88=""),"",I88/H88)</f>
        <v/>
      </c>
      <c r="K88" s="18">
        <f>F88</f>
        <v>3.28</v>
      </c>
      <c r="L88" s="21" t="str">
        <f>IF(I88="","",I88)</f>
        <v/>
      </c>
      <c r="M88" s="21" t="str">
        <f>IF(I88="","",I88-F88)</f>
        <v/>
      </c>
      <c r="N88" s="22" t="str">
        <f>IF(I88="","",IFERROR(I88/F88,""))</f>
        <v/>
      </c>
      <c r="O88" s="2" t="str">
        <f>IF(I88="","Not Started",IF(I88&gt;=F88,"Complete","In Progress"))</f>
        <v>Not Started</v>
      </c>
      <c r="P88" s="19"/>
    </row>
    <row r="89" ht="20" customHeight="1" spans="1:16" x14ac:dyDescent="0.25">
      <c r="A89" s="2">
        <v>88</v>
      </c>
      <c r="B89" s="4">
        <v>46322</v>
      </c>
      <c r="C89" s="2" t="str">
        <f>TEXT(B89,"mmm yyyy")</f>
        <v>Oct 2026</v>
      </c>
      <c r="D89" s="2" t="str">
        <f>TEXT(B89,"ddd")</f>
        <v>Tue</v>
      </c>
      <c r="E89" s="17">
        <v>4</v>
      </c>
      <c r="F89" s="18">
        <v>3.28</v>
      </c>
      <c r="G89" s="18">
        <f>IFERROR(F89/E89,0)</f>
        <v>0.82</v>
      </c>
      <c r="H89" s="19"/>
      <c r="I89" s="20"/>
      <c r="J89" s="21" t="str">
        <f>IF(OR(H89="",I89=""),"",I89/H89)</f>
        <v/>
      </c>
      <c r="K89" s="18">
        <f>F89</f>
        <v>3.28</v>
      </c>
      <c r="L89" s="21" t="str">
        <f>IF(I89="","",I89)</f>
        <v/>
      </c>
      <c r="M89" s="21" t="str">
        <f>IF(I89="","",I89-F89)</f>
        <v/>
      </c>
      <c r="N89" s="22" t="str">
        <f>IF(I89="","",IFERROR(I89/F89,""))</f>
        <v/>
      </c>
      <c r="O89" s="2" t="str">
        <f>IF(I89="","Not Started",IF(I89&gt;=F89,"Complete","In Progress"))</f>
        <v>Not Started</v>
      </c>
      <c r="P89" s="19"/>
    </row>
    <row r="90" ht="20" customHeight="1" spans="1:16" x14ac:dyDescent="0.25">
      <c r="A90" s="2">
        <v>89</v>
      </c>
      <c r="B90" s="4">
        <v>46323</v>
      </c>
      <c r="C90" s="2" t="str">
        <f>TEXT(B90,"mmm yyyy")</f>
        <v>Oct 2026</v>
      </c>
      <c r="D90" s="2" t="str">
        <f>TEXT(B90,"ddd")</f>
        <v>Wed</v>
      </c>
      <c r="E90" s="17">
        <v>4</v>
      </c>
      <c r="F90" s="18">
        <v>3.28</v>
      </c>
      <c r="G90" s="18">
        <f>IFERROR(F90/E90,0)</f>
        <v>0.82</v>
      </c>
      <c r="H90" s="19"/>
      <c r="I90" s="20"/>
      <c r="J90" s="21" t="str">
        <f>IF(OR(H90="",I90=""),"",I90/H90)</f>
        <v/>
      </c>
      <c r="K90" s="18">
        <f>F90</f>
        <v>3.28</v>
      </c>
      <c r="L90" s="21" t="str">
        <f>IF(I90="","",I90)</f>
        <v/>
      </c>
      <c r="M90" s="21" t="str">
        <f>IF(I90="","",I90-F90)</f>
        <v/>
      </c>
      <c r="N90" s="22" t="str">
        <f>IF(I90="","",IFERROR(I90/F90,""))</f>
        <v/>
      </c>
      <c r="O90" s="2" t="str">
        <f>IF(I90="","Not Started",IF(I90&gt;=F90,"Complete","In Progress"))</f>
        <v>Not Started</v>
      </c>
      <c r="P90" s="19"/>
    </row>
    <row r="91" ht="20" customHeight="1" spans="1:16" x14ac:dyDescent="0.25">
      <c r="A91" s="2">
        <v>90</v>
      </c>
      <c r="B91" s="4">
        <v>46324</v>
      </c>
      <c r="C91" s="2" t="str">
        <f>TEXT(B91,"mmm yyyy")</f>
        <v>Oct 2026</v>
      </c>
      <c r="D91" s="2" t="str">
        <f>TEXT(B91,"ddd")</f>
        <v>Thu</v>
      </c>
      <c r="E91" s="17">
        <v>4</v>
      </c>
      <c r="F91" s="18">
        <v>3.28</v>
      </c>
      <c r="G91" s="18">
        <f>IFERROR(F91/E91,0)</f>
        <v>0.82</v>
      </c>
      <c r="H91" s="19"/>
      <c r="I91" s="20"/>
      <c r="J91" s="21" t="str">
        <f>IF(OR(H91="",I91=""),"",I91/H91)</f>
        <v/>
      </c>
      <c r="K91" s="18">
        <f>F91</f>
        <v>3.28</v>
      </c>
      <c r="L91" s="21" t="str">
        <f>IF(I91="","",I91)</f>
        <v/>
      </c>
      <c r="M91" s="21" t="str">
        <f>IF(I91="","",I91-F91)</f>
        <v/>
      </c>
      <c r="N91" s="22" t="str">
        <f>IF(I91="","",IFERROR(I91/F91,""))</f>
        <v/>
      </c>
      <c r="O91" s="2" t="str">
        <f>IF(I91="","Not Started",IF(I91&gt;=F91,"Complete","In Progress"))</f>
        <v>Not Started</v>
      </c>
      <c r="P91" s="19"/>
    </row>
    <row r="92" ht="20" customHeight="1" spans="1:16" x14ac:dyDescent="0.25">
      <c r="A92" s="2">
        <v>91</v>
      </c>
      <c r="B92" s="4">
        <v>46325</v>
      </c>
      <c r="C92" s="2" t="str">
        <f>TEXT(B92,"mmm yyyy")</f>
        <v>Oct 2026</v>
      </c>
      <c r="D92" s="2" t="str">
        <f>TEXT(B92,"ddd")</f>
        <v>Fri</v>
      </c>
      <c r="E92" s="17">
        <v>4</v>
      </c>
      <c r="F92" s="18">
        <v>3.28</v>
      </c>
      <c r="G92" s="18">
        <f>IFERROR(F92/E92,0)</f>
        <v>0.82</v>
      </c>
      <c r="H92" s="19"/>
      <c r="I92" s="20"/>
      <c r="J92" s="21" t="str">
        <f>IF(OR(H92="",I92=""),"",I92/H92)</f>
        <v/>
      </c>
      <c r="K92" s="18">
        <f>F92</f>
        <v>3.28</v>
      </c>
      <c r="L92" s="21" t="str">
        <f>IF(I92="","",I92)</f>
        <v/>
      </c>
      <c r="M92" s="21" t="str">
        <f>IF(I92="","",I92-F92)</f>
        <v/>
      </c>
      <c r="N92" s="22" t="str">
        <f>IF(I92="","",IFERROR(I92/F92,""))</f>
        <v/>
      </c>
      <c r="O92" s="2" t="str">
        <f>IF(I92="","Not Started",IF(I92&gt;=F92,"Complete","In Progress"))</f>
        <v>Not Started</v>
      </c>
      <c r="P92" s="19"/>
    </row>
    <row r="93" ht="20" customHeight="1" spans="1:16" x14ac:dyDescent="0.25">
      <c r="A93" s="2">
        <v>92</v>
      </c>
      <c r="B93" s="4">
        <v>46326</v>
      </c>
      <c r="C93" s="2" t="str">
        <f>TEXT(B93,"mmm yyyy")</f>
        <v>Oct 2026</v>
      </c>
      <c r="D93" s="2" t="str">
        <f>TEXT(B93,"ddd")</f>
        <v>Sat</v>
      </c>
      <c r="E93" s="17">
        <v>4</v>
      </c>
      <c r="F93" s="18">
        <v>3.28</v>
      </c>
      <c r="G93" s="18">
        <f>IFERROR(F93/E93,0)</f>
        <v>0.82</v>
      </c>
      <c r="H93" s="19"/>
      <c r="I93" s="20"/>
      <c r="J93" s="21" t="str">
        <f>IF(OR(H93="",I93=""),"",I93/H93)</f>
        <v/>
      </c>
      <c r="K93" s="18">
        <f>F93</f>
        <v>3.28</v>
      </c>
      <c r="L93" s="21" t="str">
        <f>IF(I93="","",I93)</f>
        <v/>
      </c>
      <c r="M93" s="21" t="str">
        <f>IF(I93="","",I93-F93)</f>
        <v/>
      </c>
      <c r="N93" s="22" t="str">
        <f>IF(I93="","",IFERROR(I93/F93,""))</f>
        <v/>
      </c>
      <c r="O93" s="2" t="str">
        <f>IF(I93="","Not Started",IF(I93&gt;=F93,"Complete","In Progress"))</f>
        <v>Not Started</v>
      </c>
      <c r="P93" s="19"/>
    </row>
    <row r="94" ht="20" customHeight="1" spans="1:16" x14ac:dyDescent="0.25">
      <c r="A94" s="2">
        <v>93</v>
      </c>
      <c r="B94" s="4">
        <v>46327</v>
      </c>
      <c r="C94" s="2" t="str">
        <f>TEXT(B94,"mmm yyyy")</f>
        <v>Nov 2026</v>
      </c>
      <c r="D94" s="2" t="str">
        <f>TEXT(B94,"ddd")</f>
        <v>Sun</v>
      </c>
      <c r="E94" s="17">
        <v>4</v>
      </c>
      <c r="F94" s="18">
        <v>3.28</v>
      </c>
      <c r="G94" s="18">
        <f>IFERROR(F94/E94,0)</f>
        <v>0.82</v>
      </c>
      <c r="H94" s="19"/>
      <c r="I94" s="20"/>
      <c r="J94" s="21" t="str">
        <f>IF(OR(H94="",I94=""),"",I94/H94)</f>
        <v/>
      </c>
      <c r="K94" s="18">
        <f>F94</f>
        <v>3.28</v>
      </c>
      <c r="L94" s="21" t="str">
        <f>IF(I94="","",I94)</f>
        <v/>
      </c>
      <c r="M94" s="21" t="str">
        <f>IF(I94="","",I94-F94)</f>
        <v/>
      </c>
      <c r="N94" s="22" t="str">
        <f>IF(I94="","",IFERROR(I94/F94,""))</f>
        <v/>
      </c>
      <c r="O94" s="2" t="str">
        <f>IF(I94="","Not Started",IF(I94&gt;=F94,"Complete","In Progress"))</f>
        <v>Not Started</v>
      </c>
      <c r="P94" s="19"/>
    </row>
    <row r="95" ht="20" customHeight="1" spans="1:16" x14ac:dyDescent="0.25">
      <c r="A95" s="2">
        <v>94</v>
      </c>
      <c r="B95" s="4">
        <v>46328</v>
      </c>
      <c r="C95" s="2" t="str">
        <f>TEXT(B95,"mmm yyyy")</f>
        <v>Nov 2026</v>
      </c>
      <c r="D95" s="2" t="str">
        <f>TEXT(B95,"ddd")</f>
        <v>Mon</v>
      </c>
      <c r="E95" s="17">
        <v>4</v>
      </c>
      <c r="F95" s="18">
        <v>3.28</v>
      </c>
      <c r="G95" s="18">
        <f>IFERROR(F95/E95,0)</f>
        <v>0.82</v>
      </c>
      <c r="H95" s="19"/>
      <c r="I95" s="20"/>
      <c r="J95" s="21" t="str">
        <f>IF(OR(H95="",I95=""),"",I95/H95)</f>
        <v/>
      </c>
      <c r="K95" s="18">
        <f>F95</f>
        <v>3.28</v>
      </c>
      <c r="L95" s="21" t="str">
        <f>IF(I95="","",I95)</f>
        <v/>
      </c>
      <c r="M95" s="21" t="str">
        <f>IF(I95="","",I95-F95)</f>
        <v/>
      </c>
      <c r="N95" s="22" t="str">
        <f>IF(I95="","",IFERROR(I95/F95,""))</f>
        <v/>
      </c>
      <c r="O95" s="2" t="str">
        <f>IF(I95="","Not Started",IF(I95&gt;=F95,"Complete","In Progress"))</f>
        <v>Not Started</v>
      </c>
      <c r="P95" s="19"/>
    </row>
    <row r="96" ht="20" customHeight="1" spans="1:16" x14ac:dyDescent="0.25">
      <c r="A96" s="2">
        <v>95</v>
      </c>
      <c r="B96" s="4">
        <v>46329</v>
      </c>
      <c r="C96" s="2" t="str">
        <f>TEXT(B96,"mmm yyyy")</f>
        <v>Nov 2026</v>
      </c>
      <c r="D96" s="2" t="str">
        <f>TEXT(B96,"ddd")</f>
        <v>Tue</v>
      </c>
      <c r="E96" s="17">
        <v>4</v>
      </c>
      <c r="F96" s="18">
        <v>3.28</v>
      </c>
      <c r="G96" s="18">
        <f>IFERROR(F96/E96,0)</f>
        <v>0.82</v>
      </c>
      <c r="H96" s="19"/>
      <c r="I96" s="20"/>
      <c r="J96" s="21" t="str">
        <f>IF(OR(H96="",I96=""),"",I96/H96)</f>
        <v/>
      </c>
      <c r="K96" s="18">
        <f>F96</f>
        <v>3.28</v>
      </c>
      <c r="L96" s="21" t="str">
        <f>IF(I96="","",I96)</f>
        <v/>
      </c>
      <c r="M96" s="21" t="str">
        <f>IF(I96="","",I96-F96)</f>
        <v/>
      </c>
      <c r="N96" s="22" t="str">
        <f>IF(I96="","",IFERROR(I96/F96,""))</f>
        <v/>
      </c>
      <c r="O96" s="2" t="str">
        <f>IF(I96="","Not Started",IF(I96&gt;=F96,"Complete","In Progress"))</f>
        <v>Not Started</v>
      </c>
      <c r="P96" s="19"/>
    </row>
    <row r="97" ht="20" customHeight="1" spans="1:16" x14ac:dyDescent="0.25">
      <c r="A97" s="2">
        <v>96</v>
      </c>
      <c r="B97" s="4">
        <v>46330</v>
      </c>
      <c r="C97" s="2" t="str">
        <f>TEXT(B97,"mmm yyyy")</f>
        <v>Nov 2026</v>
      </c>
      <c r="D97" s="2" t="str">
        <f>TEXT(B97,"ddd")</f>
        <v>Wed</v>
      </c>
      <c r="E97" s="17">
        <v>4</v>
      </c>
      <c r="F97" s="18">
        <v>3.28</v>
      </c>
      <c r="G97" s="18">
        <f>IFERROR(F97/E97,0)</f>
        <v>0.82</v>
      </c>
      <c r="H97" s="19"/>
      <c r="I97" s="20"/>
      <c r="J97" s="21" t="str">
        <f>IF(OR(H97="",I97=""),"",I97/H97)</f>
        <v/>
      </c>
      <c r="K97" s="18">
        <f>F97</f>
        <v>3.28</v>
      </c>
      <c r="L97" s="21" t="str">
        <f>IF(I97="","",I97)</f>
        <v/>
      </c>
      <c r="M97" s="21" t="str">
        <f>IF(I97="","",I97-F97)</f>
        <v/>
      </c>
      <c r="N97" s="22" t="str">
        <f>IF(I97="","",IFERROR(I97/F97,""))</f>
        <v/>
      </c>
      <c r="O97" s="2" t="str">
        <f>IF(I97="","Not Started",IF(I97&gt;=F97,"Complete","In Progress"))</f>
        <v>Not Started</v>
      </c>
      <c r="P97" s="19"/>
    </row>
    <row r="98" ht="20" customHeight="1" spans="1:16" x14ac:dyDescent="0.25">
      <c r="A98" s="2">
        <v>97</v>
      </c>
      <c r="B98" s="4">
        <v>46331</v>
      </c>
      <c r="C98" s="2" t="str">
        <f>TEXT(B98,"mmm yyyy")</f>
        <v>Nov 2026</v>
      </c>
      <c r="D98" s="2" t="str">
        <f>TEXT(B98,"ddd")</f>
        <v>Thu</v>
      </c>
      <c r="E98" s="17">
        <v>4</v>
      </c>
      <c r="F98" s="18">
        <v>3.28</v>
      </c>
      <c r="G98" s="18">
        <f>IFERROR(F98/E98,0)</f>
        <v>0.82</v>
      </c>
      <c r="H98" s="19"/>
      <c r="I98" s="20"/>
      <c r="J98" s="21" t="str">
        <f>IF(OR(H98="",I98=""),"",I98/H98)</f>
        <v/>
      </c>
      <c r="K98" s="18">
        <f>F98</f>
        <v>3.28</v>
      </c>
      <c r="L98" s="21" t="str">
        <f>IF(I98="","",I98)</f>
        <v/>
      </c>
      <c r="M98" s="21" t="str">
        <f>IF(I98="","",I98-F98)</f>
        <v/>
      </c>
      <c r="N98" s="22" t="str">
        <f>IF(I98="","",IFERROR(I98/F98,""))</f>
        <v/>
      </c>
      <c r="O98" s="2" t="str">
        <f>IF(I98="","Not Started",IF(I98&gt;=F98,"Complete","In Progress"))</f>
        <v>Not Started</v>
      </c>
      <c r="P98" s="19"/>
    </row>
    <row r="99" ht="20" customHeight="1" spans="1:16" x14ac:dyDescent="0.25">
      <c r="A99" s="2">
        <v>98</v>
      </c>
      <c r="B99" s="4">
        <v>46332</v>
      </c>
      <c r="C99" s="2" t="str">
        <f>TEXT(B99,"mmm yyyy")</f>
        <v>Nov 2026</v>
      </c>
      <c r="D99" s="2" t="str">
        <f>TEXT(B99,"ddd")</f>
        <v>Fri</v>
      </c>
      <c r="E99" s="17">
        <v>4</v>
      </c>
      <c r="F99" s="18">
        <v>3.28</v>
      </c>
      <c r="G99" s="18">
        <f>IFERROR(F99/E99,0)</f>
        <v>0.82</v>
      </c>
      <c r="H99" s="19"/>
      <c r="I99" s="20"/>
      <c r="J99" s="21" t="str">
        <f>IF(OR(H99="",I99=""),"",I99/H99)</f>
        <v/>
      </c>
      <c r="K99" s="18">
        <f>F99</f>
        <v>3.28</v>
      </c>
      <c r="L99" s="21" t="str">
        <f>IF(I99="","",I99)</f>
        <v/>
      </c>
      <c r="M99" s="21" t="str">
        <f>IF(I99="","",I99-F99)</f>
        <v/>
      </c>
      <c r="N99" s="22" t="str">
        <f>IF(I99="","",IFERROR(I99/F99,""))</f>
        <v/>
      </c>
      <c r="O99" s="2" t="str">
        <f>IF(I99="","Not Started",IF(I99&gt;=F99,"Complete","In Progress"))</f>
        <v>Not Started</v>
      </c>
      <c r="P99" s="19"/>
    </row>
    <row r="100" ht="20" customHeight="1" spans="1:16" x14ac:dyDescent="0.25">
      <c r="A100" s="2">
        <v>99</v>
      </c>
      <c r="B100" s="4">
        <v>46333</v>
      </c>
      <c r="C100" s="2" t="str">
        <f>TEXT(B100,"mmm yyyy")</f>
        <v>Nov 2026</v>
      </c>
      <c r="D100" s="2" t="str">
        <f>TEXT(B100,"ddd")</f>
        <v>Sat</v>
      </c>
      <c r="E100" s="17">
        <v>4</v>
      </c>
      <c r="F100" s="18">
        <v>3.28</v>
      </c>
      <c r="G100" s="18">
        <f>IFERROR(F100/E100,0)</f>
        <v>0.82</v>
      </c>
      <c r="H100" s="19"/>
      <c r="I100" s="20"/>
      <c r="J100" s="21" t="str">
        <f>IF(OR(H100="",I100=""),"",I100/H100)</f>
        <v/>
      </c>
      <c r="K100" s="18">
        <f>F100</f>
        <v>3.28</v>
      </c>
      <c r="L100" s="21" t="str">
        <f>IF(I100="","",I100)</f>
        <v/>
      </c>
      <c r="M100" s="21" t="str">
        <f>IF(I100="","",I100-F100)</f>
        <v/>
      </c>
      <c r="N100" s="22" t="str">
        <f>IF(I100="","",IFERROR(I100/F100,""))</f>
        <v/>
      </c>
      <c r="O100" s="2" t="str">
        <f>IF(I100="","Not Started",IF(I100&gt;=F100,"Complete","In Progress"))</f>
        <v>Not Started</v>
      </c>
      <c r="P100" s="19"/>
    </row>
    <row r="101" ht="20" customHeight="1" spans="1:16" x14ac:dyDescent="0.25">
      <c r="A101" s="2">
        <v>100</v>
      </c>
      <c r="B101" s="4">
        <v>46334</v>
      </c>
      <c r="C101" s="2" t="str">
        <f>TEXT(B101,"mmm yyyy")</f>
        <v>Nov 2026</v>
      </c>
      <c r="D101" s="2" t="str">
        <f>TEXT(B101,"ddd")</f>
        <v>Sun</v>
      </c>
      <c r="E101" s="17">
        <v>4</v>
      </c>
      <c r="F101" s="18">
        <v>3.28</v>
      </c>
      <c r="G101" s="18">
        <f>IFERROR(F101/E101,0)</f>
        <v>0.82</v>
      </c>
      <c r="H101" s="19"/>
      <c r="I101" s="20"/>
      <c r="J101" s="21" t="str">
        <f>IF(OR(H101="",I101=""),"",I101/H101)</f>
        <v/>
      </c>
      <c r="K101" s="18">
        <f>F101</f>
        <v>3.28</v>
      </c>
      <c r="L101" s="21" t="str">
        <f>IF(I101="","",I101)</f>
        <v/>
      </c>
      <c r="M101" s="21" t="str">
        <f>IF(I101="","",I101-F101)</f>
        <v/>
      </c>
      <c r="N101" s="22" t="str">
        <f>IF(I101="","",IFERROR(I101/F101,""))</f>
        <v/>
      </c>
      <c r="O101" s="2" t="str">
        <f>IF(I101="","Not Started",IF(I101&gt;=F101,"Complete","In Progress"))</f>
        <v>Not Started</v>
      </c>
      <c r="P101" s="19"/>
    </row>
    <row r="102" ht="20" customHeight="1" spans="1:16" x14ac:dyDescent="0.25">
      <c r="A102" s="2">
        <v>101</v>
      </c>
      <c r="B102" s="4">
        <v>46335</v>
      </c>
      <c r="C102" s="2" t="str">
        <f>TEXT(B102,"mmm yyyy")</f>
        <v>Nov 2026</v>
      </c>
      <c r="D102" s="2" t="str">
        <f>TEXT(B102,"ddd")</f>
        <v>Mon</v>
      </c>
      <c r="E102" s="17">
        <v>4</v>
      </c>
      <c r="F102" s="18">
        <v>3.28</v>
      </c>
      <c r="G102" s="18">
        <f>IFERROR(F102/E102,0)</f>
        <v>0.82</v>
      </c>
      <c r="H102" s="19"/>
      <c r="I102" s="20"/>
      <c r="J102" s="21" t="str">
        <f>IF(OR(H102="",I102=""),"",I102/H102)</f>
        <v/>
      </c>
      <c r="K102" s="18">
        <f>F102</f>
        <v>3.28</v>
      </c>
      <c r="L102" s="21" t="str">
        <f>IF(I102="","",I102)</f>
        <v/>
      </c>
      <c r="M102" s="21" t="str">
        <f>IF(I102="","",I102-F102)</f>
        <v/>
      </c>
      <c r="N102" s="22" t="str">
        <f>IF(I102="","",IFERROR(I102/F102,""))</f>
        <v/>
      </c>
      <c r="O102" s="2" t="str">
        <f>IF(I102="","Not Started",IF(I102&gt;=F102,"Complete","In Progress"))</f>
        <v>Not Started</v>
      </c>
      <c r="P102" s="19"/>
    </row>
    <row r="103" ht="20" customHeight="1" spans="1:16" x14ac:dyDescent="0.25">
      <c r="A103" s="2">
        <v>102</v>
      </c>
      <c r="B103" s="4">
        <v>46336</v>
      </c>
      <c r="C103" s="2" t="str">
        <f>TEXT(B103,"mmm yyyy")</f>
        <v>Nov 2026</v>
      </c>
      <c r="D103" s="2" t="str">
        <f>TEXT(B103,"ddd")</f>
        <v>Tue</v>
      </c>
      <c r="E103" s="17">
        <v>4</v>
      </c>
      <c r="F103" s="18">
        <v>3.28</v>
      </c>
      <c r="G103" s="18">
        <f>IFERROR(F103/E103,0)</f>
        <v>0.82</v>
      </c>
      <c r="H103" s="19"/>
      <c r="I103" s="20"/>
      <c r="J103" s="21" t="str">
        <f>IF(OR(H103="",I103=""),"",I103/H103)</f>
        <v/>
      </c>
      <c r="K103" s="18">
        <f>F103</f>
        <v>3.28</v>
      </c>
      <c r="L103" s="21" t="str">
        <f>IF(I103="","",I103)</f>
        <v/>
      </c>
      <c r="M103" s="21" t="str">
        <f>IF(I103="","",I103-F103)</f>
        <v/>
      </c>
      <c r="N103" s="22" t="str">
        <f>IF(I103="","",IFERROR(I103/F103,""))</f>
        <v/>
      </c>
      <c r="O103" s="2" t="str">
        <f>IF(I103="","Not Started",IF(I103&gt;=F103,"Complete","In Progress"))</f>
        <v>Not Started</v>
      </c>
      <c r="P103" s="19"/>
    </row>
    <row r="104" ht="20" customHeight="1" spans="1:16" x14ac:dyDescent="0.25">
      <c r="A104" s="2">
        <v>103</v>
      </c>
      <c r="B104" s="4">
        <v>46337</v>
      </c>
      <c r="C104" s="2" t="str">
        <f>TEXT(B104,"mmm yyyy")</f>
        <v>Nov 2026</v>
      </c>
      <c r="D104" s="2" t="str">
        <f>TEXT(B104,"ddd")</f>
        <v>Wed</v>
      </c>
      <c r="E104" s="17">
        <v>4</v>
      </c>
      <c r="F104" s="18">
        <v>3.28</v>
      </c>
      <c r="G104" s="18">
        <f>IFERROR(F104/E104,0)</f>
        <v>0.82</v>
      </c>
      <c r="H104" s="19"/>
      <c r="I104" s="20"/>
      <c r="J104" s="21" t="str">
        <f>IF(OR(H104="",I104=""),"",I104/H104)</f>
        <v/>
      </c>
      <c r="K104" s="18">
        <f>F104</f>
        <v>3.28</v>
      </c>
      <c r="L104" s="21" t="str">
        <f>IF(I104="","",I104)</f>
        <v/>
      </c>
      <c r="M104" s="21" t="str">
        <f>IF(I104="","",I104-F104)</f>
        <v/>
      </c>
      <c r="N104" s="22" t="str">
        <f>IF(I104="","",IFERROR(I104/F104,""))</f>
        <v/>
      </c>
      <c r="O104" s="2" t="str">
        <f>IF(I104="","Not Started",IF(I104&gt;=F104,"Complete","In Progress"))</f>
        <v>Not Started</v>
      </c>
      <c r="P104" s="19"/>
    </row>
    <row r="105" ht="20" customHeight="1" spans="1:16" x14ac:dyDescent="0.25">
      <c r="A105" s="2">
        <v>104</v>
      </c>
      <c r="B105" s="4">
        <v>46338</v>
      </c>
      <c r="C105" s="2" t="str">
        <f>TEXT(B105,"mmm yyyy")</f>
        <v>Nov 2026</v>
      </c>
      <c r="D105" s="2" t="str">
        <f>TEXT(B105,"ddd")</f>
        <v>Thu</v>
      </c>
      <c r="E105" s="17">
        <v>4</v>
      </c>
      <c r="F105" s="18">
        <v>3.28</v>
      </c>
      <c r="G105" s="18">
        <f>IFERROR(F105/E105,0)</f>
        <v>0.82</v>
      </c>
      <c r="H105" s="19"/>
      <c r="I105" s="20"/>
      <c r="J105" s="21" t="str">
        <f>IF(OR(H105="",I105=""),"",I105/H105)</f>
        <v/>
      </c>
      <c r="K105" s="18">
        <f>F105</f>
        <v>3.28</v>
      </c>
      <c r="L105" s="21" t="str">
        <f>IF(I105="","",I105)</f>
        <v/>
      </c>
      <c r="M105" s="21" t="str">
        <f>IF(I105="","",I105-F105)</f>
        <v/>
      </c>
      <c r="N105" s="22" t="str">
        <f>IF(I105="","",IFERROR(I105/F105,""))</f>
        <v/>
      </c>
      <c r="O105" s="2" t="str">
        <f>IF(I105="","Not Started",IF(I105&gt;=F105,"Complete","In Progress"))</f>
        <v>Not Started</v>
      </c>
      <c r="P105" s="19"/>
    </row>
    <row r="106" ht="20" customHeight="1" spans="1:16" x14ac:dyDescent="0.25">
      <c r="A106" s="2">
        <v>105</v>
      </c>
      <c r="B106" s="4">
        <v>46339</v>
      </c>
      <c r="C106" s="2" t="str">
        <f>TEXT(B106,"mmm yyyy")</f>
        <v>Nov 2026</v>
      </c>
      <c r="D106" s="2" t="str">
        <f>TEXT(B106,"ddd")</f>
        <v>Fri</v>
      </c>
      <c r="E106" s="17">
        <v>4</v>
      </c>
      <c r="F106" s="18">
        <v>3.28</v>
      </c>
      <c r="G106" s="18">
        <f>IFERROR(F106/E106,0)</f>
        <v>0.82</v>
      </c>
      <c r="H106" s="19"/>
      <c r="I106" s="20"/>
      <c r="J106" s="21" t="str">
        <f>IF(OR(H106="",I106=""),"",I106/H106)</f>
        <v/>
      </c>
      <c r="K106" s="18">
        <f>F106</f>
        <v>3.28</v>
      </c>
      <c r="L106" s="21" t="str">
        <f>IF(I106="","",I106)</f>
        <v/>
      </c>
      <c r="M106" s="21" t="str">
        <f>IF(I106="","",I106-F106)</f>
        <v/>
      </c>
      <c r="N106" s="22" t="str">
        <f>IF(I106="","",IFERROR(I106/F106,""))</f>
        <v/>
      </c>
      <c r="O106" s="2" t="str">
        <f>IF(I106="","Not Started",IF(I106&gt;=F106,"Complete","In Progress"))</f>
        <v>Not Started</v>
      </c>
      <c r="P106" s="19"/>
    </row>
    <row r="107" ht="20" customHeight="1" spans="1:16" x14ac:dyDescent="0.25">
      <c r="A107" s="2">
        <v>106</v>
      </c>
      <c r="B107" s="4">
        <v>46340</v>
      </c>
      <c r="C107" s="2" t="str">
        <f>TEXT(B107,"mmm yyyy")</f>
        <v>Nov 2026</v>
      </c>
      <c r="D107" s="2" t="str">
        <f>TEXT(B107,"ddd")</f>
        <v>Sat</v>
      </c>
      <c r="E107" s="17">
        <v>4</v>
      </c>
      <c r="F107" s="18">
        <v>3.28</v>
      </c>
      <c r="G107" s="18">
        <f>IFERROR(F107/E107,0)</f>
        <v>0.82</v>
      </c>
      <c r="H107" s="19"/>
      <c r="I107" s="20"/>
      <c r="J107" s="21" t="str">
        <f>IF(OR(H107="",I107=""),"",I107/H107)</f>
        <v/>
      </c>
      <c r="K107" s="18">
        <f>F107</f>
        <v>3.28</v>
      </c>
      <c r="L107" s="21" t="str">
        <f>IF(I107="","",I107)</f>
        <v/>
      </c>
      <c r="M107" s="21" t="str">
        <f>IF(I107="","",I107-F107)</f>
        <v/>
      </c>
      <c r="N107" s="22" t="str">
        <f>IF(I107="","",IFERROR(I107/F107,""))</f>
        <v/>
      </c>
      <c r="O107" s="2" t="str">
        <f>IF(I107="","Not Started",IF(I107&gt;=F107,"Complete","In Progress"))</f>
        <v>Not Started</v>
      </c>
      <c r="P107" s="19"/>
    </row>
    <row r="108" ht="20" customHeight="1" spans="1:16" x14ac:dyDescent="0.25">
      <c r="A108" s="2">
        <v>107</v>
      </c>
      <c r="B108" s="4">
        <v>46341</v>
      </c>
      <c r="C108" s="2" t="str">
        <f>TEXT(B108,"mmm yyyy")</f>
        <v>Nov 2026</v>
      </c>
      <c r="D108" s="2" t="str">
        <f>TEXT(B108,"ddd")</f>
        <v>Sun</v>
      </c>
      <c r="E108" s="17">
        <v>4</v>
      </c>
      <c r="F108" s="18">
        <v>3.27</v>
      </c>
      <c r="G108" s="18">
        <f>IFERROR(F108/E108,0)</f>
        <v>0.82</v>
      </c>
      <c r="H108" s="19"/>
      <c r="I108" s="20"/>
      <c r="J108" s="21" t="str">
        <f>IF(OR(H108="",I108=""),"",I108/H108)</f>
        <v/>
      </c>
      <c r="K108" s="18">
        <f>F108</f>
        <v>3.27</v>
      </c>
      <c r="L108" s="21" t="str">
        <f>IF(I108="","",I108)</f>
        <v/>
      </c>
      <c r="M108" s="21" t="str">
        <f>IF(I108="","",I108-F108)</f>
        <v/>
      </c>
      <c r="N108" s="22" t="str">
        <f>IF(I108="","",IFERROR(I108/F108,""))</f>
        <v/>
      </c>
      <c r="O108" s="2" t="str">
        <f>IF(I108="","Not Started",IF(I108&gt;=F108,"Complete","In Progress"))</f>
        <v>Not Started</v>
      </c>
      <c r="P108" s="19"/>
    </row>
    <row r="109" ht="20" customHeight="1" spans="1:16" x14ac:dyDescent="0.25">
      <c r="A109" s="2">
        <v>108</v>
      </c>
      <c r="B109" s="4">
        <v>46342</v>
      </c>
      <c r="C109" s="2" t="str">
        <f>TEXT(B109,"mmm yyyy")</f>
        <v>Nov 2026</v>
      </c>
      <c r="D109" s="2" t="str">
        <f>TEXT(B109,"ddd")</f>
        <v>Mon</v>
      </c>
      <c r="E109" s="17">
        <v>4</v>
      </c>
      <c r="F109" s="18">
        <v>3.27</v>
      </c>
      <c r="G109" s="18">
        <f>IFERROR(F109/E109,0)</f>
        <v>0.82</v>
      </c>
      <c r="H109" s="19"/>
      <c r="I109" s="20"/>
      <c r="J109" s="21" t="str">
        <f>IF(OR(H109="",I109=""),"",I109/H109)</f>
        <v/>
      </c>
      <c r="K109" s="18">
        <f>F109</f>
        <v>3.27</v>
      </c>
      <c r="L109" s="21" t="str">
        <f>IF(I109="","",I109)</f>
        <v/>
      </c>
      <c r="M109" s="21" t="str">
        <f>IF(I109="","",I109-F109)</f>
        <v/>
      </c>
      <c r="N109" s="22" t="str">
        <f>IF(I109="","",IFERROR(I109/F109,""))</f>
        <v/>
      </c>
      <c r="O109" s="2" t="str">
        <f>IF(I109="","Not Started",IF(I109&gt;=F109,"Complete","In Progress"))</f>
        <v>Not Started</v>
      </c>
      <c r="P109" s="19"/>
    </row>
    <row r="110" ht="20" customHeight="1" spans="1:16" x14ac:dyDescent="0.25">
      <c r="A110" s="2">
        <v>109</v>
      </c>
      <c r="B110" s="4">
        <v>46343</v>
      </c>
      <c r="C110" s="2" t="str">
        <f>TEXT(B110,"mmm yyyy")</f>
        <v>Nov 2026</v>
      </c>
      <c r="D110" s="2" t="str">
        <f>TEXT(B110,"ddd")</f>
        <v>Tue</v>
      </c>
      <c r="E110" s="17">
        <v>4</v>
      </c>
      <c r="F110" s="18">
        <v>3.27</v>
      </c>
      <c r="G110" s="18">
        <f>IFERROR(F110/E110,0)</f>
        <v>0.82</v>
      </c>
      <c r="H110" s="19"/>
      <c r="I110" s="20"/>
      <c r="J110" s="21" t="str">
        <f>IF(OR(H110="",I110=""),"",I110/H110)</f>
        <v/>
      </c>
      <c r="K110" s="18">
        <f>F110</f>
        <v>3.27</v>
      </c>
      <c r="L110" s="21" t="str">
        <f>IF(I110="","",I110)</f>
        <v/>
      </c>
      <c r="M110" s="21" t="str">
        <f>IF(I110="","",I110-F110)</f>
        <v/>
      </c>
      <c r="N110" s="22" t="str">
        <f>IF(I110="","",IFERROR(I110/F110,""))</f>
        <v/>
      </c>
      <c r="O110" s="2" t="str">
        <f>IF(I110="","Not Started",IF(I110&gt;=F110,"Complete","In Progress"))</f>
        <v>Not Started</v>
      </c>
      <c r="P110" s="19"/>
    </row>
    <row r="111" ht="20" customHeight="1" spans="1:16" x14ac:dyDescent="0.25">
      <c r="A111" s="2">
        <v>110</v>
      </c>
      <c r="B111" s="4">
        <v>46344</v>
      </c>
      <c r="C111" s="2" t="str">
        <f>TEXT(B111,"mmm yyyy")</f>
        <v>Nov 2026</v>
      </c>
      <c r="D111" s="2" t="str">
        <f>TEXT(B111,"ddd")</f>
        <v>Wed</v>
      </c>
      <c r="E111" s="17">
        <v>4</v>
      </c>
      <c r="F111" s="18">
        <v>3.27</v>
      </c>
      <c r="G111" s="18">
        <f>IFERROR(F111/E111,0)</f>
        <v>0.82</v>
      </c>
      <c r="H111" s="19"/>
      <c r="I111" s="20"/>
      <c r="J111" s="21" t="str">
        <f>IF(OR(H111="",I111=""),"",I111/H111)</f>
        <v/>
      </c>
      <c r="K111" s="18">
        <f>F111</f>
        <v>3.27</v>
      </c>
      <c r="L111" s="21" t="str">
        <f>IF(I111="","",I111)</f>
        <v/>
      </c>
      <c r="M111" s="21" t="str">
        <f>IF(I111="","",I111-F111)</f>
        <v/>
      </c>
      <c r="N111" s="22" t="str">
        <f>IF(I111="","",IFERROR(I111/F111,""))</f>
        <v/>
      </c>
      <c r="O111" s="2" t="str">
        <f>IF(I111="","Not Started",IF(I111&gt;=F111,"Complete","In Progress"))</f>
        <v>Not Started</v>
      </c>
      <c r="P111" s="19"/>
    </row>
    <row r="112" ht="20" customHeight="1" spans="1:16" x14ac:dyDescent="0.25">
      <c r="A112" s="2">
        <v>111</v>
      </c>
      <c r="B112" s="4">
        <v>46345</v>
      </c>
      <c r="C112" s="2" t="str">
        <f>TEXT(B112,"mmm yyyy")</f>
        <v>Nov 2026</v>
      </c>
      <c r="D112" s="2" t="str">
        <f>TEXT(B112,"ddd")</f>
        <v>Thu</v>
      </c>
      <c r="E112" s="17">
        <v>4</v>
      </c>
      <c r="F112" s="18">
        <v>3.27</v>
      </c>
      <c r="G112" s="18">
        <f>IFERROR(F112/E112,0)</f>
        <v>0.82</v>
      </c>
      <c r="H112" s="19"/>
      <c r="I112" s="20"/>
      <c r="J112" s="21" t="str">
        <f>IF(OR(H112="",I112=""),"",I112/H112)</f>
        <v/>
      </c>
      <c r="K112" s="18">
        <f>F112</f>
        <v>3.27</v>
      </c>
      <c r="L112" s="21" t="str">
        <f>IF(I112="","",I112)</f>
        <v/>
      </c>
      <c r="M112" s="21" t="str">
        <f>IF(I112="","",I112-F112)</f>
        <v/>
      </c>
      <c r="N112" s="22" t="str">
        <f>IF(I112="","",IFERROR(I112/F112,""))</f>
        <v/>
      </c>
      <c r="O112" s="2" t="str">
        <f>IF(I112="","Not Started",IF(I112&gt;=F112,"Complete","In Progress"))</f>
        <v>Not Started</v>
      </c>
      <c r="P112" s="19"/>
    </row>
    <row r="113" ht="20" customHeight="1" spans="1:16" x14ac:dyDescent="0.25">
      <c r="A113" s="2">
        <v>112</v>
      </c>
      <c r="B113" s="4">
        <v>46346</v>
      </c>
      <c r="C113" s="2" t="str">
        <f>TEXT(B113,"mmm yyyy")</f>
        <v>Nov 2026</v>
      </c>
      <c r="D113" s="2" t="str">
        <f>TEXT(B113,"ddd")</f>
        <v>Fri</v>
      </c>
      <c r="E113" s="17">
        <v>4</v>
      </c>
      <c r="F113" s="18">
        <v>3.27</v>
      </c>
      <c r="G113" s="18">
        <f>IFERROR(F113/E113,0)</f>
        <v>0.82</v>
      </c>
      <c r="H113" s="19"/>
      <c r="I113" s="20"/>
      <c r="J113" s="21" t="str">
        <f>IF(OR(H113="",I113=""),"",I113/H113)</f>
        <v/>
      </c>
      <c r="K113" s="18">
        <f>F113</f>
        <v>3.27</v>
      </c>
      <c r="L113" s="21" t="str">
        <f>IF(I113="","",I113)</f>
        <v/>
      </c>
      <c r="M113" s="21" t="str">
        <f>IF(I113="","",I113-F113)</f>
        <v/>
      </c>
      <c r="N113" s="22" t="str">
        <f>IF(I113="","",IFERROR(I113/F113,""))</f>
        <v/>
      </c>
      <c r="O113" s="2" t="str">
        <f>IF(I113="","Not Started",IF(I113&gt;=F113,"Complete","In Progress"))</f>
        <v>Not Started</v>
      </c>
      <c r="P113" s="19"/>
    </row>
    <row r="114" ht="20" customHeight="1" spans="1:16" x14ac:dyDescent="0.25">
      <c r="A114" s="2">
        <v>113</v>
      </c>
      <c r="B114" s="4">
        <v>46347</v>
      </c>
      <c r="C114" s="2" t="str">
        <f>TEXT(B114,"mmm yyyy")</f>
        <v>Nov 2026</v>
      </c>
      <c r="D114" s="2" t="str">
        <f>TEXT(B114,"ddd")</f>
        <v>Sat</v>
      </c>
      <c r="E114" s="17">
        <v>4</v>
      </c>
      <c r="F114" s="18">
        <v>3.27</v>
      </c>
      <c r="G114" s="18">
        <f>IFERROR(F114/E114,0)</f>
        <v>0.82</v>
      </c>
      <c r="H114" s="19"/>
      <c r="I114" s="20"/>
      <c r="J114" s="21" t="str">
        <f>IF(OR(H114="",I114=""),"",I114/H114)</f>
        <v/>
      </c>
      <c r="K114" s="18">
        <f>F114</f>
        <v>3.27</v>
      </c>
      <c r="L114" s="21" t="str">
        <f>IF(I114="","",I114)</f>
        <v/>
      </c>
      <c r="M114" s="21" t="str">
        <f>IF(I114="","",I114-F114)</f>
        <v/>
      </c>
      <c r="N114" s="22" t="str">
        <f>IF(I114="","",IFERROR(I114/F114,""))</f>
        <v/>
      </c>
      <c r="O114" s="2" t="str">
        <f>IF(I114="","Not Started",IF(I114&gt;=F114,"Complete","In Progress"))</f>
        <v>Not Started</v>
      </c>
      <c r="P114" s="19"/>
    </row>
    <row r="115" ht="20" customHeight="1" spans="1:16" x14ac:dyDescent="0.25">
      <c r="A115" s="2">
        <v>114</v>
      </c>
      <c r="B115" s="4">
        <v>46348</v>
      </c>
      <c r="C115" s="2" t="str">
        <f>TEXT(B115,"mmm yyyy")</f>
        <v>Nov 2026</v>
      </c>
      <c r="D115" s="2" t="str">
        <f>TEXT(B115,"ddd")</f>
        <v>Sun</v>
      </c>
      <c r="E115" s="17">
        <v>4</v>
      </c>
      <c r="F115" s="18">
        <v>3.27</v>
      </c>
      <c r="G115" s="18">
        <f>IFERROR(F115/E115,0)</f>
        <v>0.82</v>
      </c>
      <c r="H115" s="19"/>
      <c r="I115" s="20"/>
      <c r="J115" s="21" t="str">
        <f>IF(OR(H115="",I115=""),"",I115/H115)</f>
        <v/>
      </c>
      <c r="K115" s="18">
        <f>F115</f>
        <v>3.27</v>
      </c>
      <c r="L115" s="21" t="str">
        <f>IF(I115="","",I115)</f>
        <v/>
      </c>
      <c r="M115" s="21" t="str">
        <f>IF(I115="","",I115-F115)</f>
        <v/>
      </c>
      <c r="N115" s="22" t="str">
        <f>IF(I115="","",IFERROR(I115/F115,""))</f>
        <v/>
      </c>
      <c r="O115" s="2" t="str">
        <f>IF(I115="","Not Started",IF(I115&gt;=F115,"Complete","In Progress"))</f>
        <v>Not Started</v>
      </c>
      <c r="P115" s="19"/>
    </row>
    <row r="116" ht="20" customHeight="1" spans="1:16" x14ac:dyDescent="0.25">
      <c r="A116" s="2">
        <v>115</v>
      </c>
      <c r="B116" s="4">
        <v>46349</v>
      </c>
      <c r="C116" s="2" t="str">
        <f>TEXT(B116,"mmm yyyy")</f>
        <v>Nov 2026</v>
      </c>
      <c r="D116" s="2" t="str">
        <f>TEXT(B116,"ddd")</f>
        <v>Mon</v>
      </c>
      <c r="E116" s="17">
        <v>4</v>
      </c>
      <c r="F116" s="18">
        <v>3.27</v>
      </c>
      <c r="G116" s="18">
        <f>IFERROR(F116/E116,0)</f>
        <v>0.82</v>
      </c>
      <c r="H116" s="19"/>
      <c r="I116" s="20"/>
      <c r="J116" s="21" t="str">
        <f>IF(OR(H116="",I116=""),"",I116/H116)</f>
        <v/>
      </c>
      <c r="K116" s="18">
        <f>F116</f>
        <v>3.27</v>
      </c>
      <c r="L116" s="21" t="str">
        <f>IF(I116="","",I116)</f>
        <v/>
      </c>
      <c r="M116" s="21" t="str">
        <f>IF(I116="","",I116-F116)</f>
        <v/>
      </c>
      <c r="N116" s="22" t="str">
        <f>IF(I116="","",IFERROR(I116/F116,""))</f>
        <v/>
      </c>
      <c r="O116" s="2" t="str">
        <f>IF(I116="","Not Started",IF(I116&gt;=F116,"Complete","In Progress"))</f>
        <v>Not Started</v>
      </c>
      <c r="P116" s="19"/>
    </row>
    <row r="117" ht="20" customHeight="1" spans="1:16" x14ac:dyDescent="0.25">
      <c r="A117" s="2">
        <v>116</v>
      </c>
      <c r="B117" s="4">
        <v>46350</v>
      </c>
      <c r="C117" s="2" t="str">
        <f>TEXT(B117,"mmm yyyy")</f>
        <v>Nov 2026</v>
      </c>
      <c r="D117" s="2" t="str">
        <f>TEXT(B117,"ddd")</f>
        <v>Tue</v>
      </c>
      <c r="E117" s="17">
        <v>4</v>
      </c>
      <c r="F117" s="18">
        <v>3.27</v>
      </c>
      <c r="G117" s="18">
        <f>IFERROR(F117/E117,0)</f>
        <v>0.82</v>
      </c>
      <c r="H117" s="19"/>
      <c r="I117" s="20"/>
      <c r="J117" s="21" t="str">
        <f>IF(OR(H117="",I117=""),"",I117/H117)</f>
        <v/>
      </c>
      <c r="K117" s="18">
        <f>F117</f>
        <v>3.27</v>
      </c>
      <c r="L117" s="21" t="str">
        <f>IF(I117="","",I117)</f>
        <v/>
      </c>
      <c r="M117" s="21" t="str">
        <f>IF(I117="","",I117-F117)</f>
        <v/>
      </c>
      <c r="N117" s="22" t="str">
        <f>IF(I117="","",IFERROR(I117/F117,""))</f>
        <v/>
      </c>
      <c r="O117" s="2" t="str">
        <f>IF(I117="","Not Started",IF(I117&gt;=F117,"Complete","In Progress"))</f>
        <v>Not Started</v>
      </c>
      <c r="P117" s="19"/>
    </row>
    <row r="118" ht="20" customHeight="1" spans="1:16" x14ac:dyDescent="0.25">
      <c r="A118" s="2">
        <v>117</v>
      </c>
      <c r="B118" s="4">
        <v>46351</v>
      </c>
      <c r="C118" s="2" t="str">
        <f>TEXT(B118,"mmm yyyy")</f>
        <v>Nov 2026</v>
      </c>
      <c r="D118" s="2" t="str">
        <f>TEXT(B118,"ddd")</f>
        <v>Wed</v>
      </c>
      <c r="E118" s="17">
        <v>4</v>
      </c>
      <c r="F118" s="18">
        <v>3.27</v>
      </c>
      <c r="G118" s="18">
        <f>IFERROR(F118/E118,0)</f>
        <v>0.82</v>
      </c>
      <c r="H118" s="19"/>
      <c r="I118" s="20"/>
      <c r="J118" s="21" t="str">
        <f>IF(OR(H118="",I118=""),"",I118/H118)</f>
        <v/>
      </c>
      <c r="K118" s="18">
        <f>F118</f>
        <v>3.27</v>
      </c>
      <c r="L118" s="21" t="str">
        <f>IF(I118="","",I118)</f>
        <v/>
      </c>
      <c r="M118" s="21" t="str">
        <f>IF(I118="","",I118-F118)</f>
        <v/>
      </c>
      <c r="N118" s="22" t="str">
        <f>IF(I118="","",IFERROR(I118/F118,""))</f>
        <v/>
      </c>
      <c r="O118" s="2" t="str">
        <f>IF(I118="","Not Started",IF(I118&gt;=F118,"Complete","In Progress"))</f>
        <v>Not Started</v>
      </c>
      <c r="P118" s="19"/>
    </row>
    <row r="119" ht="20" customHeight="1" spans="1:16" x14ac:dyDescent="0.25">
      <c r="A119" s="2">
        <v>118</v>
      </c>
      <c r="B119" s="4">
        <v>46352</v>
      </c>
      <c r="C119" s="2" t="str">
        <f>TEXT(B119,"mmm yyyy")</f>
        <v>Nov 2026</v>
      </c>
      <c r="D119" s="2" t="str">
        <f>TEXT(B119,"ddd")</f>
        <v>Thu</v>
      </c>
      <c r="E119" s="17">
        <v>4</v>
      </c>
      <c r="F119" s="18">
        <v>3.27</v>
      </c>
      <c r="G119" s="18">
        <f>IFERROR(F119/E119,0)</f>
        <v>0.82</v>
      </c>
      <c r="H119" s="19"/>
      <c r="I119" s="20"/>
      <c r="J119" s="21" t="str">
        <f>IF(OR(H119="",I119=""),"",I119/H119)</f>
        <v/>
      </c>
      <c r="K119" s="18">
        <f>F119</f>
        <v>3.27</v>
      </c>
      <c r="L119" s="21" t="str">
        <f>IF(I119="","",I119)</f>
        <v/>
      </c>
      <c r="M119" s="21" t="str">
        <f>IF(I119="","",I119-F119)</f>
        <v/>
      </c>
      <c r="N119" s="22" t="str">
        <f>IF(I119="","",IFERROR(I119/F119,""))</f>
        <v/>
      </c>
      <c r="O119" s="2" t="str">
        <f>IF(I119="","Not Started",IF(I119&gt;=F119,"Complete","In Progress"))</f>
        <v>Not Started</v>
      </c>
      <c r="P119" s="19"/>
    </row>
    <row r="120" ht="20" customHeight="1" spans="1:16" x14ac:dyDescent="0.25">
      <c r="A120" s="2">
        <v>119</v>
      </c>
      <c r="B120" s="4">
        <v>46353</v>
      </c>
      <c r="C120" s="2" t="str">
        <f>TEXT(B120,"mmm yyyy")</f>
        <v>Nov 2026</v>
      </c>
      <c r="D120" s="2" t="str">
        <f>TEXT(B120,"ddd")</f>
        <v>Fri</v>
      </c>
      <c r="E120" s="17">
        <v>4</v>
      </c>
      <c r="F120" s="18">
        <v>3.27</v>
      </c>
      <c r="G120" s="18">
        <f>IFERROR(F120/E120,0)</f>
        <v>0.82</v>
      </c>
      <c r="H120" s="19"/>
      <c r="I120" s="20"/>
      <c r="J120" s="21" t="str">
        <f>IF(OR(H120="",I120=""),"",I120/H120)</f>
        <v/>
      </c>
      <c r="K120" s="18">
        <f>F120</f>
        <v>3.27</v>
      </c>
      <c r="L120" s="21" t="str">
        <f>IF(I120="","",I120)</f>
        <v/>
      </c>
      <c r="M120" s="21" t="str">
        <f>IF(I120="","",I120-F120)</f>
        <v/>
      </c>
      <c r="N120" s="22" t="str">
        <f>IF(I120="","",IFERROR(I120/F120,""))</f>
        <v/>
      </c>
      <c r="O120" s="2" t="str">
        <f>IF(I120="","Not Started",IF(I120&gt;=F120,"Complete","In Progress"))</f>
        <v>Not Started</v>
      </c>
      <c r="P120" s="19"/>
    </row>
    <row r="121" ht="20" customHeight="1" spans="1:16" x14ac:dyDescent="0.25">
      <c r="A121" s="2">
        <v>120</v>
      </c>
      <c r="B121" s="4">
        <v>46354</v>
      </c>
      <c r="C121" s="2" t="str">
        <f>TEXT(B121,"mmm yyyy")</f>
        <v>Nov 2026</v>
      </c>
      <c r="D121" s="2" t="str">
        <f>TEXT(B121,"ddd")</f>
        <v>Sat</v>
      </c>
      <c r="E121" s="17">
        <v>4</v>
      </c>
      <c r="F121" s="18">
        <v>3.27</v>
      </c>
      <c r="G121" s="18">
        <f>IFERROR(F121/E121,0)</f>
        <v>0.82</v>
      </c>
      <c r="H121" s="19"/>
      <c r="I121" s="20"/>
      <c r="J121" s="21" t="str">
        <f>IF(OR(H121="",I121=""),"",I121/H121)</f>
        <v/>
      </c>
      <c r="K121" s="18">
        <f>F121</f>
        <v>3.27</v>
      </c>
      <c r="L121" s="21" t="str">
        <f>IF(I121="","",I121)</f>
        <v/>
      </c>
      <c r="M121" s="21" t="str">
        <f>IF(I121="","",I121-F121)</f>
        <v/>
      </c>
      <c r="N121" s="22" t="str">
        <f>IF(I121="","",IFERROR(I121/F121,""))</f>
        <v/>
      </c>
      <c r="O121" s="2" t="str">
        <f>IF(I121="","Not Started",IF(I121&gt;=F121,"Complete","In Progress"))</f>
        <v>Not Started</v>
      </c>
      <c r="P121" s="19"/>
    </row>
    <row r="122" ht="20" customHeight="1" spans="1:16" x14ac:dyDescent="0.25">
      <c r="A122" s="2">
        <v>121</v>
      </c>
      <c r="B122" s="4">
        <v>46355</v>
      </c>
      <c r="C122" s="2" t="str">
        <f>TEXT(B122,"mmm yyyy")</f>
        <v>Nov 2026</v>
      </c>
      <c r="D122" s="2" t="str">
        <f>TEXT(B122,"ddd")</f>
        <v>Sun</v>
      </c>
      <c r="E122" s="17">
        <v>4</v>
      </c>
      <c r="F122" s="18">
        <v>3.27</v>
      </c>
      <c r="G122" s="18">
        <f>IFERROR(F122/E122,0)</f>
        <v>0.82</v>
      </c>
      <c r="H122" s="19"/>
      <c r="I122" s="20"/>
      <c r="J122" s="21" t="str">
        <f>IF(OR(H122="",I122=""),"",I122/H122)</f>
        <v/>
      </c>
      <c r="K122" s="18">
        <f>F122</f>
        <v>3.27</v>
      </c>
      <c r="L122" s="21" t="str">
        <f>IF(I122="","",I122)</f>
        <v/>
      </c>
      <c r="M122" s="21" t="str">
        <f>IF(I122="","",I122-F122)</f>
        <v/>
      </c>
      <c r="N122" s="22" t="str">
        <f>IF(I122="","",IFERROR(I122/F122,""))</f>
        <v/>
      </c>
      <c r="O122" s="2" t="str">
        <f>IF(I122="","Not Started",IF(I122&gt;=F122,"Complete","In Progress"))</f>
        <v>Not Started</v>
      </c>
      <c r="P122" s="19"/>
    </row>
    <row r="123" ht="20" customHeight="1" spans="1:16" x14ac:dyDescent="0.25">
      <c r="A123" s="2">
        <v>122</v>
      </c>
      <c r="B123" s="4">
        <v>46356</v>
      </c>
      <c r="C123" s="2" t="str">
        <f>TEXT(B123,"mmm yyyy")</f>
        <v>Nov 2026</v>
      </c>
      <c r="D123" s="2" t="str">
        <f>TEXT(B123,"ddd")</f>
        <v>Mon</v>
      </c>
      <c r="E123" s="17">
        <v>4</v>
      </c>
      <c r="F123" s="18">
        <v>3.27</v>
      </c>
      <c r="G123" s="18">
        <f>IFERROR(F123/E123,0)</f>
        <v>0.82</v>
      </c>
      <c r="H123" s="19"/>
      <c r="I123" s="20"/>
      <c r="J123" s="21" t="str">
        <f>IF(OR(H123="",I123=""),"",I123/H123)</f>
        <v/>
      </c>
      <c r="K123" s="18">
        <f>F123</f>
        <v>3.27</v>
      </c>
      <c r="L123" s="21" t="str">
        <f>IF(I123="","",I123)</f>
        <v/>
      </c>
      <c r="M123" s="21" t="str">
        <f>IF(I123="","",I123-F123)</f>
        <v/>
      </c>
      <c r="N123" s="22" t="str">
        <f>IF(I123="","",IFERROR(I123/F123,""))</f>
        <v/>
      </c>
      <c r="O123" s="2" t="str">
        <f>IF(I123="","Not Started",IF(I123&gt;=F123,"Complete","In Progress"))</f>
        <v>Not Started</v>
      </c>
      <c r="P123" s="19"/>
    </row>
  </sheetData>
  <autoFilter ref="A1:P1"/>
  <conditionalFormatting sqref="O2:O123">
    <cfRule type="containsText" dxfId="0" priority="1">
      <formula>NOT(ISERROR(SEARCH("Complete",O2)))</formula>
    </cfRule>
    <cfRule type="containsText" dxfId="1" priority="2">
      <formula>NOT(ISERROR(SEARCH("In Progress",O2)))</formula>
    </cfRule>
  </conditionalFormatting>
  <dataValidations count="4">
    <dataValidation type="whole" allowBlank="1" showErrorMessage="1" errorTitle="Invalid team size" error="Enter a value from 0 to 4." sqref="H10:H123">
      <formula1>0</formula1>
      <formula2>4</formula2>
    </dataValidation>
    <dataValidation type="whole" allowBlank="1" showErrorMessage="1" errorTitle="Invalid team size" error="Enter a value from 0 to 4." sqref="H2:H123">
      <formula1>0</formula1>
      <formula2>4</formula2>
    </dataValidation>
    <dataValidation type="decimal" operator="greaterThanOrEqual" allowBlank="1" showErrorMessage="1" errorTitle="Invalid hours" error="Actual hours cannot be negative." sqref="I10:I123">
      <formula1>0</formula1>
    </dataValidation>
    <dataValidation type="decimal" operator="greaterThanOrEqual" allowBlank="1" showErrorMessage="1" errorTitle="Invalid hours" error="Actual hours cannot be negative." sqref="I2:I123">
      <formula1>0</formula1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18" style="11" customWidth="1"/>
    <col min="5" max="5" width="18" style="12" customWidth="1"/>
  </cols>
  <sheetData>
    <row r="1" ht="24" customHeight="1" spans="1:5" x14ac:dyDescent="0.25">
      <c r="A1" s="13" t="s">
        <v>20</v>
      </c>
      <c r="B1" s="15" t="s">
        <v>34</v>
      </c>
      <c r="C1" s="15" t="s">
        <v>29</v>
      </c>
      <c r="D1" s="15" t="s">
        <v>35</v>
      </c>
      <c r="E1" s="16" t="s">
        <v>36</v>
      </c>
    </row>
    <row r="2" spans="1:5" x14ac:dyDescent="0.25">
      <c r="A2" s="2" t="s">
        <v>37</v>
      </c>
      <c r="B2" s="21">
        <f>SUMIF('Production Plan'!$C$2:$C$123,A2,'Production Plan'!$F$2:$F$123)</f>
        <v>101.68</v>
      </c>
      <c r="C2" s="21">
        <f>SUMIF('Production Plan'!$C$2:$C$123,A2,'Production Plan'!$I$2:$I$123)</f>
        <v>0</v>
      </c>
      <c r="D2" s="21" t="str">
        <f>IF(COUNT('Production Plan'!$I$2:$I$123)=0,"",C2-B2)</f>
        <v/>
      </c>
      <c r="E2" s="22" t="str">
        <f>IF(C2=0,"",IFERROR(C2/B2,""))</f>
        <v/>
      </c>
    </row>
    <row r="3" spans="1:5" x14ac:dyDescent="0.25">
      <c r="A3" s="2" t="s">
        <v>38</v>
      </c>
      <c r="B3" s="21">
        <f>SUMIF('Production Plan'!$C$2:$C$123,A3,'Production Plan'!$F$2:$F$123)</f>
        <v>98.4</v>
      </c>
      <c r="C3" s="21">
        <f>SUMIF('Production Plan'!$C$2:$C$123,A3,'Production Plan'!$I$2:$I$123)</f>
        <v>0</v>
      </c>
      <c r="D3" s="21" t="str">
        <f>IF(COUNT('Production Plan'!$I$2:$I$123)=0,"",C3-B3)</f>
        <v/>
      </c>
      <c r="E3" s="22" t="str">
        <f>IF(C3=0,"",IFERROR(C3/B3,""))</f>
        <v/>
      </c>
    </row>
    <row r="4" spans="1:5" x14ac:dyDescent="0.25">
      <c r="A4" s="2" t="s">
        <v>39</v>
      </c>
      <c r="B4" s="21">
        <f>SUMIF('Production Plan'!$C$2:$C$123,A4,'Production Plan'!$F$2:$F$123)</f>
        <v>101.68</v>
      </c>
      <c r="C4" s="21">
        <f>SUMIF('Production Plan'!$C$2:$C$123,A4,'Production Plan'!$I$2:$I$123)</f>
        <v>0</v>
      </c>
      <c r="D4" s="21" t="str">
        <f>IF(COUNT('Production Plan'!$I$2:$I$123)=0,"",C4-B4)</f>
        <v/>
      </c>
      <c r="E4" s="22" t="str">
        <f>IF(C4=0,"",IFERROR(C4/B4,""))</f>
        <v/>
      </c>
    </row>
    <row r="5" spans="1:5" x14ac:dyDescent="0.25">
      <c r="A5" s="2" t="s">
        <v>40</v>
      </c>
      <c r="B5" s="21">
        <f>SUMIF('Production Plan'!$C$2:$C$123,A5,'Production Plan'!$F$2:$F$123)</f>
        <v>98.24</v>
      </c>
      <c r="C5" s="21">
        <f>SUMIF('Production Plan'!$C$2:$C$123,A5,'Production Plan'!$I$2:$I$123)</f>
        <v>0</v>
      </c>
      <c r="D5" s="21" t="str">
        <f>IF(COUNT('Production Plan'!$I$2:$I$123)=0,"",C5-B5)</f>
        <v/>
      </c>
      <c r="E5" s="22" t="str">
        <f>IF(C5=0,"",IFERROR(C5/B5,""))</f>
        <v/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46" customWidth="1"/>
    <col min="3" max="3" width="50" customWidth="1"/>
    <col min="4" max="6" width="4" customWidth="1"/>
  </cols>
  <sheetData>
    <row r="1" spans="1:6" s="23" customFormat="1" x14ac:dyDescent="0.25">
      <c r="A1" s="24" t="s">
        <v>41</v>
      </c>
      <c r="B1" s="24"/>
      <c r="C1" s="24"/>
      <c r="D1" s="24"/>
      <c r="E1" s="24"/>
      <c r="F1" s="24"/>
    </row>
    <row r="2" spans="1:6" s="23" customFormat="1" x14ac:dyDescent="0.25">
      <c r="A2" s="24"/>
      <c r="B2" s="24"/>
      <c r="C2" s="24"/>
      <c r="D2" s="24"/>
      <c r="E2" s="24"/>
      <c r="F2" s="24"/>
    </row>
    <row r="4" ht="24" customHeight="1" spans="1:2" s="23" customFormat="1" x14ac:dyDescent="0.25">
      <c r="A4" s="25" t="s">
        <v>42</v>
      </c>
      <c r="B4" s="25" t="s">
        <v>43</v>
      </c>
    </row>
    <row r="5" spans="1:2" s="23" customFormat="1" x14ac:dyDescent="0.25">
      <c r="A5" s="3" t="s">
        <v>44</v>
      </c>
      <c r="B5" s="3" t="s">
        <v>45</v>
      </c>
    </row>
    <row r="6" spans="1:2" s="23" customFormat="1" x14ac:dyDescent="0.25">
      <c r="A6" s="3" t="s">
        <v>46</v>
      </c>
      <c r="B6" s="3" t="s">
        <v>47</v>
      </c>
    </row>
    <row r="7" spans="1:2" s="23" customFormat="1" x14ac:dyDescent="0.25">
      <c r="A7" s="3" t="s">
        <v>48</v>
      </c>
      <c r="B7" s="3" t="s">
        <v>49</v>
      </c>
    </row>
    <row r="8" spans="1:2" s="23" customFormat="1" x14ac:dyDescent="0.25">
      <c r="A8" s="3" t="s">
        <v>50</v>
      </c>
      <c r="B8" s="3" t="s">
        <v>51</v>
      </c>
    </row>
    <row r="11" ht="24" customHeight="1" spans="1:3" s="23" customFormat="1" x14ac:dyDescent="0.25">
      <c r="A11" s="25" t="s">
        <v>52</v>
      </c>
      <c r="B11" s="25" t="s">
        <v>53</v>
      </c>
      <c r="C11" s="25" t="s">
        <v>54</v>
      </c>
    </row>
    <row r="12" spans="1:3" s="23" customFormat="1" x14ac:dyDescent="0.25">
      <c r="A12" s="3" t="s">
        <v>55</v>
      </c>
      <c r="B12" s="3" t="s">
        <v>56</v>
      </c>
      <c r="C12" s="3" t="s">
        <v>57</v>
      </c>
    </row>
    <row r="13" spans="1:3" s="23" customFormat="1" x14ac:dyDescent="0.25">
      <c r="A13" s="3" t="s">
        <v>58</v>
      </c>
      <c r="B13" s="3" t="s">
        <v>59</v>
      </c>
      <c r="C13" s="3" t="s">
        <v>60</v>
      </c>
    </row>
    <row r="14" spans="1:3" s="23" customFormat="1" x14ac:dyDescent="0.25">
      <c r="A14" s="3" t="s">
        <v>61</v>
      </c>
      <c r="B14" s="3" t="s">
        <v>62</v>
      </c>
      <c r="C14" s="3" t="s">
        <v>63</v>
      </c>
    </row>
  </sheetData>
  <mergeCells count="1">
    <mergeCell ref="A1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showGridLines="0"/>
  </sheetViews>
  <sheetFormatPr defaultRowHeight="15" outlineLevelRow="0" outlineLevelCol="0" x14ac:dyDescent="55"/>
  <cols>
    <col min="1" max="1" width="8" customWidth="1"/>
    <col min="2" max="2" width="90" style="23" customWidth="1"/>
  </cols>
  <sheetData>
    <row r="1" spans="1:4" x14ac:dyDescent="0.25">
      <c r="A1" s="24" t="s">
        <v>64</v>
      </c>
      <c r="B1" s="24"/>
      <c r="C1" s="24"/>
      <c r="D1" s="24"/>
    </row>
    <row r="2" spans="1:4" x14ac:dyDescent="0.25">
      <c r="A2" s="24"/>
      <c r="B2" s="24"/>
      <c r="C2" s="24"/>
      <c r="D2" s="24"/>
    </row>
    <row r="4" ht="24" customHeight="1" spans="1:2" x14ac:dyDescent="0.25">
      <c r="A4" s="13" t="s">
        <v>18</v>
      </c>
      <c r="B4" s="25" t="s">
        <v>65</v>
      </c>
    </row>
    <row r="5" spans="1:2" x14ac:dyDescent="0.25">
      <c r="A5" s="2">
        <v>1</v>
      </c>
      <c r="B5" s="3" t="s">
        <v>66</v>
      </c>
    </row>
    <row r="6" spans="1:2" x14ac:dyDescent="0.25">
      <c r="A6" s="2">
        <v>2</v>
      </c>
      <c r="B6" s="3" t="s">
        <v>67</v>
      </c>
    </row>
    <row r="7" spans="1:2" x14ac:dyDescent="0.25">
      <c r="A7" s="2">
        <v>3</v>
      </c>
      <c r="B7" s="3" t="s">
        <v>68</v>
      </c>
    </row>
    <row r="8" spans="1:2" x14ac:dyDescent="0.25">
      <c r="A8" s="2">
        <v>4</v>
      </c>
      <c r="B8" s="3" t="s">
        <v>69</v>
      </c>
    </row>
    <row r="9" spans="1:2" x14ac:dyDescent="0.25">
      <c r="A9" s="2">
        <v>5</v>
      </c>
      <c r="B9" s="3" t="s">
        <v>70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Production Plan</vt:lpstr>
      <vt:lpstr>Monthly Summary</vt:lpstr>
      <vt:lpstr>Phases &amp; Risks</vt:lpstr>
      <vt:lpstr>Assumptions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Chatbot2ProPl</dc:creator>
  <dc:title/>
  <dc:subject/>
  <dc:description/>
  <cp:keywords/>
  <cp:category/>
  <cp:lastModifiedBy>Unknown</cp:lastModifiedBy>
  <dcterms:created xsi:type="dcterms:W3CDTF">2026-07-06T02:22:34Z</dcterms:created>
  <dcterms:modified xsi:type="dcterms:W3CDTF">2026-07-06T02:22:34Z</dcterms:modified>
</cp:coreProperties>
</file>