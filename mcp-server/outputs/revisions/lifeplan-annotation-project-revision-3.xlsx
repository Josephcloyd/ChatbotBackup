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duction Plan" state="visible" r:id="rId5"/>
    <sheet sheetId="3" name="Weekly Schedule" state="visible" r:id="rId6"/>
    <sheet sheetId="4" name="Resource Allocation" state="visible" r:id="rId7"/>
    <sheet sheetId="5" name="Milestones" state="visible" r:id="rId8"/>
    <sheet sheetId="6" name="QA Review" state="visible" r:id="rId9"/>
    <sheet sheetId="7" name="Risks and Assumptions" state="visible" r:id="rId10"/>
    <sheet sheetId="8" name="Progress Tracker" state="visible" r:id="rId11"/>
    <sheet sheetId="9" name="Summary" state="visible" r:id="rId12"/>
    <sheet sheetId="10" name="Project Information" state="visible" r:id="rId13"/>
    <sheet sheetId="11" name="Capacity Analysis" state="visible" r:id="rId14"/>
    <sheet sheetId="12" name="Workflow Stages" state="visible" r:id="rId15"/>
    <sheet sheetId="13" name="Task Breakdown" state="visible" r:id="rId16"/>
    <sheet sheetId="14" name="Quality Plan" state="visible" r:id="rId17"/>
    <sheet sheetId="15" name="Risk Register" state="visible" r:id="rId18"/>
    <sheet sheetId="16" name="KPI Tracker" state="visible" r:id="rId19"/>
    <sheet sheetId="17" name="Chart Specs" state="visible" r:id="rId20"/>
    <sheet sheetId="18" name="Monthly Summary" state="visible" r:id="rId21"/>
    <sheet sheetId="19" name="Phases &amp; Risks" state="visible" r:id="rId22"/>
    <sheet sheetId="20" name="Assumptions" state="visible" r:id="rId23"/>
  </sheets>
  <calcPr calcId="171027" fullCalcOnLoad="1"/>
</workbook>
</file>

<file path=xl/sharedStrings.xml><?xml version="1.0" encoding="utf-8"?>
<sst xmlns="http://schemas.openxmlformats.org/spreadsheetml/2006/main" count="666" uniqueCount="323">
  <si>
    <t>Production Plan | Overview</t>
  </si>
  <si>
    <t>Project</t>
  </si>
  <si>
    <t>Annotation Project</t>
  </si>
  <si>
    <t>Client</t>
  </si>
  <si>
    <t>Not specified</t>
  </si>
  <si>
    <t>Description</t>
  </si>
  <si>
    <t>Create a production plan for four annotators with 120 total hours over 50 weekdays.</t>
  </si>
  <si>
    <t>Start Date</t>
  </si>
  <si>
    <t>Deadline</t>
  </si>
  <si>
    <t>Schedule</t>
  </si>
  <si>
    <t>Weekdays only</t>
  </si>
  <si>
    <t>Scheduled Days</t>
  </si>
  <si>
    <t>PLANNED HOURS</t>
  </si>
  <si>
    <t>TEAM SIZE</t>
  </si>
  <si>
    <t>ACTUAL HOURS</t>
  </si>
  <si>
    <t>COMPLETION</t>
  </si>
  <si>
    <t>Plan Summary</t>
  </si>
  <si>
    <t>Baseline plan for 4 annotators to complete 120 hours of annotation work over 50 weekdays. Includes quality review phase to ensure accuracy. Feasibility: FEASIBLE. Planned workload: 120 hours from 2026-07-29 to 2026-10-06 with 4 resource(s). Required daily output: 2.4 hours; utilization: 7.5%.</t>
  </si>
  <si>
    <t>No.</t>
  </si>
  <si>
    <t>Date</t>
  </si>
  <si>
    <t>Month</t>
  </si>
  <si>
    <t>Day</t>
  </si>
  <si>
    <t>Target Active Annotators</t>
  </si>
  <si>
    <t>Target Total Hours</t>
  </si>
  <si>
    <t>Target Total Hours per Annotator</t>
  </si>
  <si>
    <t>Actual Active Annotators</t>
  </si>
  <si>
    <t>Actual Total Hours</t>
  </si>
  <si>
    <t>Actual Total Hours per Annotator</t>
  </si>
  <si>
    <t>Target Hours</t>
  </si>
  <si>
    <t>Actual Hours</t>
  </si>
  <si>
    <t>Total Variance</t>
  </si>
  <si>
    <t>Completion Rate (%)</t>
  </si>
  <si>
    <t>Status</t>
  </si>
  <si>
    <t>Notes</t>
  </si>
  <si>
    <t>Guideline Setup batch annotation</t>
  </si>
  <si>
    <t>Pilot Annotation batch annotation</t>
  </si>
  <si>
    <t>Production Annotation batch annotation</t>
  </si>
  <si>
    <t>QA sample and adjudicate annotation output</t>
  </si>
  <si>
    <t>Review &amp; Delivery batch annotation</t>
  </si>
  <si>
    <t>Week</t>
  </si>
  <si>
    <t>End Date</t>
  </si>
  <si>
    <t>Planned Hours</t>
  </si>
  <si>
    <t>Focus</t>
  </si>
  <si>
    <t>Review Checkpoint</t>
  </si>
  <si>
    <t>2026-07-29</t>
  </si>
  <si>
    <t>2026-08-04</t>
  </si>
  <si>
    <t>Team lead check-in</t>
  </si>
  <si>
    <t>2026-08-05</t>
  </si>
  <si>
    <t>2026-08-11</t>
  </si>
  <si>
    <t>Progress review and issue clearing</t>
  </si>
  <si>
    <t>2026-08-12</t>
  </si>
  <si>
    <t>2026-08-18</t>
  </si>
  <si>
    <t>2026-08-19</t>
  </si>
  <si>
    <t>2026-08-25</t>
  </si>
  <si>
    <t>2026-08-26</t>
  </si>
  <si>
    <t>2026-09-01</t>
  </si>
  <si>
    <t>2026-09-02</t>
  </si>
  <si>
    <t>2026-09-08</t>
  </si>
  <si>
    <t>2026-09-09</t>
  </si>
  <si>
    <t>2026-09-15</t>
  </si>
  <si>
    <t>2026-09-16</t>
  </si>
  <si>
    <t>2026-09-22</t>
  </si>
  <si>
    <t>2026-09-23</t>
  </si>
  <si>
    <t>2026-09-29</t>
  </si>
  <si>
    <t>2026-09-30</t>
  </si>
  <si>
    <t>2026-10-06</t>
  </si>
  <si>
    <t>Resource</t>
  </si>
  <si>
    <t>Role</t>
  </si>
  <si>
    <t>Primary Focus</t>
  </si>
  <si>
    <t>Annotator 1</t>
  </si>
  <si>
    <t>Annotator</t>
  </si>
  <si>
    <t>Guideline Setup</t>
  </si>
  <si>
    <t>Weekday allocation</t>
  </si>
  <si>
    <t>Milestone</t>
  </si>
  <si>
    <t>Target Date</t>
  </si>
  <si>
    <t>Owner</t>
  </si>
  <si>
    <t>Dependency</t>
  </si>
  <si>
    <t>Acceptance Check</t>
  </si>
  <si>
    <t>Guideline Setup complete</t>
  </si>
  <si>
    <t>Resource 1</t>
  </si>
  <si>
    <t>Inputs confirmed</t>
  </si>
  <si>
    <t>Finalize annotation rules, examples, and acceptance criteria.</t>
  </si>
  <si>
    <t>Pilot Annotation complete</t>
  </si>
  <si>
    <t>Resource 2</t>
  </si>
  <si>
    <t>Run a small batch to calibrate annotators and detect ambiguity.</t>
  </si>
  <si>
    <t>Production Annotation complete</t>
  </si>
  <si>
    <t>Resource 3</t>
  </si>
  <si>
    <t>Complete the main annotation workload at target throughput.</t>
  </si>
  <si>
    <t>QA Sampling complete</t>
  </si>
  <si>
    <t>Resource 4</t>
  </si>
  <si>
    <t>Sample completed work and resolve quality issues.</t>
  </si>
  <si>
    <t>Review &amp; Delivery complete</t>
  </si>
  <si>
    <t>Project lead</t>
  </si>
  <si>
    <t>Review metrics, apply corrections, and package outputs.</t>
  </si>
  <si>
    <t>Checkpoint</t>
  </si>
  <si>
    <t>Scope</t>
  </si>
  <si>
    <t>Criteria</t>
  </si>
  <si>
    <t>Week 1 quality review</t>
  </si>
  <si>
    <t>QA sample, findings review, and correction queue</t>
  </si>
  <si>
    <t>Output meets agreed rules before continuing</t>
  </si>
  <si>
    <t>Week 2 quality review</t>
  </si>
  <si>
    <t>Week 3 quality review</t>
  </si>
  <si>
    <t>Week 4 quality review</t>
  </si>
  <si>
    <t>Week 5 quality review</t>
  </si>
  <si>
    <t>Week 6 quality review</t>
  </si>
  <si>
    <t>Week 7 quality review</t>
  </si>
  <si>
    <t>Week 8 quality review</t>
  </si>
  <si>
    <t>Week 9 quality review</t>
  </si>
  <si>
    <t>Final review</t>
  </si>
  <si>
    <t>Type</t>
  </si>
  <si>
    <t>Item</t>
  </si>
  <si>
    <t>Impact</t>
  </si>
  <si>
    <t>Mitigation / Note</t>
  </si>
  <si>
    <t>Risk</t>
  </si>
  <si>
    <t>Annotation errors</t>
  </si>
  <si>
    <t>Re-work required, delays in project completion</t>
  </si>
  <si>
    <t>Implement double-checking and quality control steps</t>
  </si>
  <si>
    <t>Staff turnover</t>
  </si>
  <si>
    <t>Loss of knowledge, increased training time</t>
  </si>
  <si>
    <t>Regular team meetings and cross-training</t>
  </si>
  <si>
    <t>Assumption</t>
  </si>
  <si>
    <t>Weekends excluded</t>
  </si>
  <si>
    <t>Controls available workdays and daily target hours</t>
  </si>
  <si>
    <t>Schedule generated from normalized planning constraints.</t>
  </si>
  <si>
    <t>Period</t>
  </si>
  <si>
    <t>Variance</t>
  </si>
  <si>
    <t>Completion %</t>
  </si>
  <si>
    <t>Week 1</t>
  </si>
  <si>
    <t/>
  </si>
  <si>
    <t>Not Started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</si>
  <si>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</si>
  <si>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</si>
  <si>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</si>
  <si>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</si>
  <si>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</si>
  <si>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</si>
  <si>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</si>
  <si>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</si>
  <si>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</si>
  <si>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Metric</t>
  </si>
  <si>
    <t>Value</t>
  </si>
  <si>
    <t>Project type</t>
  </si>
  <si>
    <t>annotation</t>
  </si>
  <si>
    <t>Production unit</t>
  </si>
  <si>
    <t>hours</t>
  </si>
  <si>
    <t>Start date</t>
  </si>
  <si>
    <t>End date</t>
  </si>
  <si>
    <t>Total planned hours</t>
  </si>
  <si>
    <t>Team size</t>
  </si>
  <si>
    <t>Schedule mode</t>
  </si>
  <si>
    <t>Field</t>
  </si>
  <si>
    <t>Project category</t>
  </si>
  <si>
    <t>Planning model</t>
  </si>
  <si>
    <t>Feasibility status</t>
  </si>
  <si>
    <t>FEASIBLE</t>
  </si>
  <si>
    <t>Requires clarification</t>
  </si>
  <si>
    <t>false</t>
  </si>
  <si>
    <t>Clarification questions</t>
  </si>
  <si>
    <t>Formula</t>
  </si>
  <si>
    <t>Unit</t>
  </si>
  <si>
    <t>Available person-hours</t>
  </si>
  <si>
    <t>teamSize × workingDays × productiveHoursPerDay</t>
  </si>
  <si>
    <t>Required hours</t>
  </si>
  <si>
    <t>planned production hours + quality review hours</t>
  </si>
  <si>
    <t>Production hours</t>
  </si>
  <si>
    <t>requiredHours - qualityReviewHours</t>
  </si>
  <si>
    <t>Quality review hours</t>
  </si>
  <si>
    <t>max(requiredHours × 12%, scheduledDays × 0.25)</t>
  </si>
  <si>
    <t>Utilization</t>
  </si>
  <si>
    <t>requiredHours ÷ availablePersonHours × 100</t>
  </si>
  <si>
    <t>%</t>
  </si>
  <si>
    <t>Buffer hours</t>
  </si>
  <si>
    <t>availablePersonHours - requiredHours</t>
  </si>
  <si>
    <t>Required daily output</t>
  </si>
  <si>
    <t>planned workload ÷ workingDays</t>
  </si>
  <si>
    <t>Required output per resource per day</t>
  </si>
  <si>
    <t>requiredDailyOutput ÷ teamSize</t>
  </si>
  <si>
    <t>deterministic utilization and assumption check</t>
  </si>
  <si>
    <t>status</t>
  </si>
  <si>
    <t>Stage ID</t>
  </si>
  <si>
    <t>Stage Name</t>
  </si>
  <si>
    <t>Purpose</t>
  </si>
  <si>
    <t>Owner Role</t>
  </si>
  <si>
    <t>Inputs</t>
  </si>
  <si>
    <t>Outputs</t>
  </si>
  <si>
    <t>Planned Start</t>
  </si>
  <si>
    <t>Planned End</t>
  </si>
  <si>
    <t>Estimated Hours</t>
  </si>
  <si>
    <t>Dependencies</t>
  </si>
  <si>
    <t>Completion Criteria</t>
  </si>
  <si>
    <t>STG-01</t>
  </si>
  <si>
    <t>Project request and confirmed constraints</t>
  </si>
  <si>
    <t>Guideline Setup deliverables</t>
  </si>
  <si>
    <t>STG-02</t>
  </si>
  <si>
    <t>Pilot Annotation</t>
  </si>
  <si>
    <t>Guideline Setup outputs</t>
  </si>
  <si>
    <t>Pilot Annotation deliverables</t>
  </si>
  <si>
    <t>STG-03</t>
  </si>
  <si>
    <t>Production Annotation</t>
  </si>
  <si>
    <t>Pilot Annotation outputs</t>
  </si>
  <si>
    <t>Production Annotation deliverables</t>
  </si>
  <si>
    <t>STG-04</t>
  </si>
  <si>
    <t>QA Sampling</t>
  </si>
  <si>
    <t>Production Annotation outputs</t>
  </si>
  <si>
    <t>QA Sampling deliverables</t>
  </si>
  <si>
    <t>STG-05</t>
  </si>
  <si>
    <t>Review &amp; Delivery</t>
  </si>
  <si>
    <t>QA Sampling outputs</t>
  </si>
  <si>
    <t>Review &amp; Delivery deliverables</t>
  </si>
  <si>
    <t>Task ID</t>
  </si>
  <si>
    <t>Task Name</t>
  </si>
  <si>
    <t>Workflow Stage</t>
  </si>
  <si>
    <t>Assigned Role</t>
  </si>
  <si>
    <t>Priority</t>
  </si>
  <si>
    <t>Planned Quantity</t>
  </si>
  <si>
    <t>Production Unit</t>
  </si>
  <si>
    <t>Daily Target</t>
  </si>
  <si>
    <t>Expected Deliverable</t>
  </si>
  <si>
    <t>Initial Status</t>
  </si>
  <si>
    <t>TASK-001</t>
  </si>
  <si>
    <t>MEDIUM</t>
  </si>
  <si>
    <t>Guideline Setup completed</t>
  </si>
  <si>
    <t>NOT_STARTED</t>
  </si>
  <si>
    <t>TASK-002</t>
  </si>
  <si>
    <t>Pilot Annotation completed</t>
  </si>
  <si>
    <t>TASK-003</t>
  </si>
  <si>
    <t>Production Annotation completed</t>
  </si>
  <si>
    <t>TASK-004</t>
  </si>
  <si>
    <t>Quality reviewer</t>
  </si>
  <si>
    <t>QA Sampling completed</t>
  </si>
  <si>
    <t>TASK-005</t>
  </si>
  <si>
    <t>HIGH</t>
  </si>
  <si>
    <t>Review &amp; Delivery completed</t>
  </si>
  <si>
    <t>Area</t>
  </si>
  <si>
    <t>Method</t>
  </si>
  <si>
    <t>Target</t>
  </si>
  <si>
    <t>Review coverage</t>
  </si>
  <si>
    <t>Sampling, validation, and correction queue</t>
  </si>
  <si>
    <t>Material sample reviewed before completion</t>
  </si>
  <si>
    <t>Rework handling</t>
  </si>
  <si>
    <t>Track exceptions separately and recheck corrected output</t>
  </si>
  <si>
    <t>No unresolved critical exceptions at closeout</t>
  </si>
  <si>
    <t>Risk ID</t>
  </si>
  <si>
    <t>Category</t>
  </si>
  <si>
    <t>Probability</t>
  </si>
  <si>
    <t>Severity</t>
  </si>
  <si>
    <t>Trigger</t>
  </si>
  <si>
    <t>Mitigation</t>
  </si>
  <si>
    <t>Contingency</t>
  </si>
  <si>
    <t>RISK-001</t>
  </si>
  <si>
    <t>MODERATE</t>
  </si>
  <si>
    <t>Progress, quality, or resource indicator moves outside threshold</t>
  </si>
  <si>
    <t>Use buffer and prioritize critical deliverables.</t>
  </si>
  <si>
    <t>RISK-002</t>
  </si>
  <si>
    <t>KPI ID</t>
  </si>
  <si>
    <t>Name</t>
  </si>
  <si>
    <t>Warning Threshold</t>
  </si>
  <si>
    <t>Critical Threshold</t>
  </si>
  <si>
    <t>Source Data</t>
  </si>
  <si>
    <t>KPI-001</t>
  </si>
  <si>
    <t>Planned output</t>
  </si>
  <si>
    <t>Total planned workload</t>
  </si>
  <si>
    <t>SUM primary target column</t>
  </si>
  <si>
    <t>Below daily target</t>
  </si>
  <si>
    <t>Below 85% of target</t>
  </si>
  <si>
    <t>Production Plan</t>
  </si>
  <si>
    <t>KPI-002</t>
  </si>
  <si>
    <t>Capacity utilization</t>
  </si>
  <si>
    <t>Required hours as percentage of available person-hours</t>
  </si>
  <si>
    <t>requiredHours / availablePersonHours</t>
  </si>
  <si>
    <t>85%</t>
  </si>
  <si>
    <t>100%</t>
  </si>
  <si>
    <t>Capacity Analysis</t>
  </si>
  <si>
    <t>KPI-003</t>
  </si>
  <si>
    <t>Quality review allocation</t>
  </si>
  <si>
    <t>Hours reserved for quality-control work</t>
  </si>
  <si>
    <t>qualityReviewHours</t>
  </si>
  <si>
    <t>Below 10% of required hours</t>
  </si>
  <si>
    <t>No quality allocation</t>
  </si>
  <si>
    <t>Quality Plan</t>
  </si>
  <si>
    <t>Chart ID</t>
  </si>
  <si>
    <t>Chart Title</t>
  </si>
  <si>
    <t>Chart Type</t>
  </si>
  <si>
    <t>Source Worksheet</t>
  </si>
  <si>
    <t>Category Field</t>
  </si>
  <si>
    <t>Value Fields</t>
  </si>
  <si>
    <t>Aggregation</t>
  </si>
  <si>
    <t>Filters</t>
  </si>
  <si>
    <t>Display Target</t>
  </si>
  <si>
    <t>CHART-001</t>
  </si>
  <si>
    <t>Planned Hours by Day</t>
  </si>
  <si>
    <t>line</t>
  </si>
  <si>
    <t>Show daily production targets</t>
  </si>
  <si>
    <t>sum</t>
  </si>
  <si>
    <t>BOTH</t>
  </si>
  <si>
    <t>CHART-002</t>
  </si>
  <si>
    <t>Capacity vs Required Hours</t>
  </si>
  <si>
    <t>bar</t>
  </si>
  <si>
    <t>Compare available and required hours</t>
  </si>
  <si>
    <t>none</t>
  </si>
  <si>
    <t>Available person-hours, Required hours, Buffer hours</t>
  </si>
  <si>
    <t>CHART-003</t>
  </si>
  <si>
    <t>Risk Distribution</t>
  </si>
  <si>
    <t>Summarize risks by impact</t>
  </si>
  <si>
    <t>Risk Register</t>
  </si>
  <si>
    <t>count</t>
  </si>
  <si>
    <t>DASHBOARD</t>
  </si>
  <si>
    <t>Completion Rate</t>
  </si>
  <si>
    <t>Jul 2026</t>
  </si>
  <si>
    <t>Aug 2026</t>
  </si>
  <si>
    <t>Sep 2026</t>
  </si>
  <si>
    <t>Oct 2026</t>
  </si>
  <si>
    <t>Delivery Phases &amp; Risk Register</t>
  </si>
  <si>
    <t>Phase</t>
  </si>
  <si>
    <t>Objective</t>
  </si>
  <si>
    <t>Planning Assumptions</t>
  </si>
  <si>
    <t>8 hours per day per annotator</t>
  </si>
  <si>
    <t>50 weekdays in the planning period</t>
  </si>
  <si>
    <t>No holidays or leave during planning period</t>
  </si>
  <si>
    <t>All work is completed within the planning horizon</t>
  </si>
  <si>
    <t>Quality control is included in the 120 hours</t>
  </si>
  <si>
    <t>Weekdays only scheduling was used.</t>
  </si>
  <si>
    <t>Total target hours are distributed across 50 scheduled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</si>
</sst>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sz val="10"/>
      <name val="Aptos"/>
    </font>
    <font>
      <b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133020"/>
      </patternFill>
    </fill>
    <fill>
      <patternFill patternType="solid">
        <fgColor rgb="FF046241"/>
      </patternFill>
    </fill>
    <fill>
      <patternFill patternType="solid">
        <fgColor rgb="FFFFF8E1"/>
      </patternFill>
    </fill>
    <fill>
      <patternFill patternType="solid">
        <fgColor rgb="FFF9F7F7"/>
      </patternFill>
    </fill>
    <fill>
      <patternFill patternType="solid">
        <fgColor rgb="FFE8F5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CBB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0" fontId="2" fillId="3" borderId="0" xfId="0" applyFont="1" applyFill="1" applyAlignment="1">
      <alignment horizontal="center"/>
    </xf>
    <xf numFmtId="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vertical="top" wrapText="1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6" borderId="0" xfId="0" applyFont="1" applyFill="1"/>
    <xf numFmtId="4" fontId="2" fillId="6" borderId="0" xfId="0" applyNumberFormat="1" applyFont="1" applyFill="1"/>
    <xf numFmtId="0" fontId="0" fillId="4" borderId="0" xfId="0" applyFill="1"/>
    <xf numFmtId="4" fontId="0" fillId="4" borderId="0" xfId="0" applyNumberFormat="1" applyFill="1"/>
    <xf numFmtId="4" fontId="2" fillId="0" borderId="0" xfId="0" applyNumberFormat="1" applyFont="1"/>
    <xf numFmtId="165" fontId="2" fillId="0" borderId="0" xfId="0" applyNumberFormat="1" applyFont="1"/>
    <xf numFmtId="0" fontId="2" fillId="4" borderId="0" xfId="0" applyFont="1" applyFill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8F5EE"/>
        </patternFill>
      </fill>
    </dxf>
    <dxf>
      <fill>
        <patternFill patternType="solid">
          <fgColor rgb="FFFFF8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4" customWidth="1"/>
    <col min="5" max="8" width="18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/>
      <c r="D4" s="2"/>
      <c r="E4" s="2" t="s">
        <v>3</v>
      </c>
      <c r="F4" s="2" t="s">
        <v>4</v>
      </c>
      <c r="G4" s="2"/>
      <c r="H4" s="2"/>
    </row>
    <row r="5" spans="1:8" x14ac:dyDescent="0.25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spans="2:8" x14ac:dyDescent="0.25">
      <c r="B6" s="3"/>
      <c r="C6" s="3"/>
      <c r="D6" s="3"/>
      <c r="E6" s="3"/>
      <c r="F6" s="3"/>
      <c r="G6" s="3"/>
      <c r="H6" s="3"/>
    </row>
    <row r="8" spans="1:4" x14ac:dyDescent="0.25">
      <c r="A8" s="2" t="s">
        <v>7</v>
      </c>
      <c r="B8" s="4">
        <v>46232</v>
      </c>
      <c r="C8" s="2" t="s">
        <v>8</v>
      </c>
      <c r="D8" s="4">
        <v>46301</v>
      </c>
    </row>
    <row r="9" spans="1:4" x14ac:dyDescent="0.25">
      <c r="A9" s="2" t="s">
        <v>9</v>
      </c>
      <c r="B9" s="2" t="s">
        <v>10</v>
      </c>
      <c r="C9" s="2" t="s">
        <v>11</v>
      </c>
      <c r="D9" s="2">
        <v>50</v>
      </c>
    </row>
    <row r="11" spans="1:8" x14ac:dyDescent="0.25">
      <c r="A11" s="5" t="s">
        <v>12</v>
      </c>
      <c r="B11" s="5"/>
      <c r="C11" s="5" t="s">
        <v>13</v>
      </c>
      <c r="D11" s="5"/>
      <c r="E11" s="5" t="s">
        <v>14</v>
      </c>
      <c r="F11" s="5"/>
      <c r="G11" s="5" t="s">
        <v>15</v>
      </c>
      <c r="H11" s="5"/>
    </row>
    <row r="12" spans="1:8" x14ac:dyDescent="0.25">
      <c r="A12" s="6">
        <f>SUM('Production Plan'!F2:F51)</f>
        <v>120</v>
      </c>
      <c r="B12" s="6"/>
      <c r="C12" s="7">
        <f>MAX('Production Plan'!E2:E51)</f>
        <v>4</v>
      </c>
      <c r="D12" s="7"/>
      <c r="E12" s="6">
        <f>SUM('Production Plan'!I2:I51)</f>
        <v>0</v>
      </c>
      <c r="F12" s="6"/>
      <c r="G12" s="8" t="str">
        <f>IF(COUNT('Production Plan'!I2:I51)=0,"",IFERROR(E12/A12,""))</f>
        <v/>
      </c>
      <c r="H12" s="8"/>
    </row>
    <row r="13" spans="1:8" x14ac:dyDescent="0.25">
      <c r="A13" s="6"/>
      <c r="B13" s="6"/>
      <c r="C13" s="7"/>
      <c r="D13" s="7"/>
      <c r="E13" s="6"/>
      <c r="F13" s="6"/>
      <c r="G13" s="8"/>
      <c r="H13" s="8"/>
    </row>
    <row r="16" spans="1:1" x14ac:dyDescent="0.25">
      <c r="A16" s="2" t="s">
        <v>16</v>
      </c>
    </row>
    <row r="17" spans="1:8" x14ac:dyDescent="0.25">
      <c r="A17" s="9" t="s">
        <v>17</v>
      </c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</sheetData>
  <mergeCells count="13">
    <mergeCell ref="A1:H2"/>
    <mergeCell ref="B4:D4"/>
    <mergeCell ref="F4:H4"/>
    <mergeCell ref="B5:H6"/>
    <mergeCell ref="A11:B11"/>
    <mergeCell ref="C11:D11"/>
    <mergeCell ref="E11:F11"/>
    <mergeCell ref="G11:H11"/>
    <mergeCell ref="A12:B13"/>
    <mergeCell ref="C12:D13"/>
    <mergeCell ref="E12:F13"/>
    <mergeCell ref="G12:H13"/>
    <mergeCell ref="A17:H19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3" style="10" customWidth="1"/>
    <col min="3" max="3" width="14" customWidth="1"/>
    <col min="4" max="4" width="10" customWidth="1"/>
    <col min="5" max="5" width="18" customWidth="1"/>
    <col min="6" max="6" width="18" style="11" customWidth="1"/>
    <col min="7" max="7" width="22" style="11" customWidth="1"/>
    <col min="8" max="8" width="18" customWidth="1"/>
    <col min="9" max="9" width="18" style="11" customWidth="1"/>
    <col min="10" max="10" width="22" style="11" customWidth="1"/>
    <col min="11" max="13" width="14" style="11" customWidth="1"/>
    <col min="14" max="14" width="16" style="12" customWidth="1"/>
    <col min="15" max="15" width="15" customWidth="1"/>
    <col min="16" max="16" width="28" customWidth="1"/>
  </cols>
  <sheetData>
    <row r="1" ht="24" customHeight="1" spans="1:16" x14ac:dyDescent="0.25">
      <c r="A1" s="13" t="s">
        <v>18</v>
      </c>
      <c r="B1" s="14" t="s">
        <v>19</v>
      </c>
      <c r="C1" s="13" t="s">
        <v>20</v>
      </c>
      <c r="D1" s="13" t="s">
        <v>21</v>
      </c>
      <c r="E1" s="13" t="s">
        <v>22</v>
      </c>
      <c r="F1" s="15" t="s">
        <v>23</v>
      </c>
      <c r="G1" s="15" t="s">
        <v>24</v>
      </c>
      <c r="H1" s="13" t="s">
        <v>25</v>
      </c>
      <c r="I1" s="15" t="s">
        <v>26</v>
      </c>
      <c r="J1" s="15" t="s">
        <v>27</v>
      </c>
      <c r="K1" s="15" t="s">
        <v>28</v>
      </c>
      <c r="L1" s="15" t="s">
        <v>29</v>
      </c>
      <c r="M1" s="15" t="s">
        <v>30</v>
      </c>
      <c r="N1" s="16" t="s">
        <v>31</v>
      </c>
      <c r="O1" s="13" t="s">
        <v>32</v>
      </c>
      <c r="P1" s="13" t="s">
        <v>33</v>
      </c>
    </row>
    <row r="2" ht="20" customHeight="1" spans="1:16" x14ac:dyDescent="0.25">
      <c r="A2" s="2">
        <v>1</v>
      </c>
      <c r="B2" s="4">
        <v>46232</v>
      </c>
      <c r="C2" s="2" t="str">
        <f>TEXT(B2,"mmm yyyy")</f>
        <v>Jul 2026</v>
      </c>
      <c r="D2" s="2" t="str">
        <f>TEXT(B2,"ddd")</f>
        <v>Wed</v>
      </c>
      <c r="E2" s="17">
        <v>4</v>
      </c>
      <c r="F2" s="18">
        <v>2.4</v>
      </c>
      <c r="G2" s="18">
        <f>IFERROR(F2/E2,0)</f>
        <v>0.6</v>
      </c>
      <c r="H2" s="19"/>
      <c r="I2" s="20"/>
      <c r="J2" s="21" t="str">
        <f>IF(OR(H2="",I2=""),"",I2/H2)</f>
        <v/>
      </c>
      <c r="K2" s="18">
        <v>2.4</v>
      </c>
      <c r="L2" s="21" t="str">
        <f>IF(I2="","",I2)</f>
        <v/>
      </c>
      <c r="M2" s="21" t="str">
        <f>IF(I2="","",I2-F2)</f>
        <v/>
      </c>
      <c r="N2" s="22" t="str">
        <f>IF(I2="","",IFERROR(I2/F2,""))</f>
        <v/>
      </c>
      <c r="O2" s="2" t="str">
        <f>IF(I2="","Not Started",IF(I2&gt;=F2,"Complete","In Progress"))</f>
        <v>Not Started</v>
      </c>
      <c r="P2" s="23" t="s">
        <v>34</v>
      </c>
    </row>
    <row r="3" ht="20" customHeight="1" spans="1:16" x14ac:dyDescent="0.25">
      <c r="A3" s="2">
        <v>2</v>
      </c>
      <c r="B3" s="4">
        <v>46233</v>
      </c>
      <c r="C3" s="2" t="str">
        <f>TEXT(B3,"mmm yyyy")</f>
        <v>Jul 2026</v>
      </c>
      <c r="D3" s="2" t="str">
        <f>TEXT(B3,"ddd")</f>
        <v>Thu</v>
      </c>
      <c r="E3" s="17">
        <v>4</v>
      </c>
      <c r="F3" s="18">
        <v>2.4</v>
      </c>
      <c r="G3" s="18">
        <f>IFERROR(F3/E3,0)</f>
        <v>0.6</v>
      </c>
      <c r="H3" s="19"/>
      <c r="I3" s="20"/>
      <c r="J3" s="21" t="str">
        <f>IF(OR(H3="",I3=""),"",I3/H3)</f>
        <v/>
      </c>
      <c r="K3" s="18">
        <v>2.4</v>
      </c>
      <c r="L3" s="21" t="str">
        <f>IF(I3="","",I3)</f>
        <v/>
      </c>
      <c r="M3" s="21" t="str">
        <f>IF(I3="","",I3-F3)</f>
        <v/>
      </c>
      <c r="N3" s="22" t="str">
        <f>IF(I3="","",IFERROR(I3/F3,""))</f>
        <v/>
      </c>
      <c r="O3" s="2" t="str">
        <f>IF(I3="","Not Started",IF(I3&gt;=F3,"Complete","In Progress"))</f>
        <v>Not Started</v>
      </c>
      <c r="P3" s="23" t="s">
        <v>34</v>
      </c>
    </row>
    <row r="4" ht="20" customHeight="1" spans="1:16" x14ac:dyDescent="0.25">
      <c r="A4" s="2">
        <v>3</v>
      </c>
      <c r="B4" s="4">
        <v>46234</v>
      </c>
      <c r="C4" s="2" t="str">
        <f>TEXT(B4,"mmm yyyy")</f>
        <v>Jul 2026</v>
      </c>
      <c r="D4" s="2" t="str">
        <f>TEXT(B4,"ddd")</f>
        <v>Fri</v>
      </c>
      <c r="E4" s="17">
        <v>4</v>
      </c>
      <c r="F4" s="18">
        <v>2.4</v>
      </c>
      <c r="G4" s="18">
        <f>IFERROR(F4/E4,0)</f>
        <v>0.6</v>
      </c>
      <c r="H4" s="19"/>
      <c r="I4" s="20"/>
      <c r="J4" s="21" t="str">
        <f>IF(OR(H4="",I4=""),"",I4/H4)</f>
        <v/>
      </c>
      <c r="K4" s="18">
        <v>2.4</v>
      </c>
      <c r="L4" s="21" t="str">
        <f>IF(I4="","",I4)</f>
        <v/>
      </c>
      <c r="M4" s="21" t="str">
        <f>IF(I4="","",I4-F4)</f>
        <v/>
      </c>
      <c r="N4" s="22" t="str">
        <f>IF(I4="","",IFERROR(I4/F4,""))</f>
        <v/>
      </c>
      <c r="O4" s="2" t="str">
        <f>IF(I4="","Not Started",IF(I4&gt;=F4,"Complete","In Progress"))</f>
        <v>Not Started</v>
      </c>
      <c r="P4" s="23" t="s">
        <v>34</v>
      </c>
    </row>
    <row r="5" ht="20" customHeight="1" spans="1:16" x14ac:dyDescent="0.25">
      <c r="A5" s="2">
        <v>4</v>
      </c>
      <c r="B5" s="4">
        <v>46237</v>
      </c>
      <c r="C5" s="2" t="str">
        <f>TEXT(B5,"mmm yyyy")</f>
        <v>Aug 2026</v>
      </c>
      <c r="D5" s="2" t="str">
        <f>TEXT(B5,"ddd")</f>
        <v>Mon</v>
      </c>
      <c r="E5" s="17">
        <v>4</v>
      </c>
      <c r="F5" s="18">
        <v>2.4</v>
      </c>
      <c r="G5" s="18">
        <f>IFERROR(F5/E5,0)</f>
        <v>0.6</v>
      </c>
      <c r="H5" s="19"/>
      <c r="I5" s="20"/>
      <c r="J5" s="21" t="str">
        <f>IF(OR(H5="",I5=""),"",I5/H5)</f>
        <v/>
      </c>
      <c r="K5" s="18">
        <v>2.4</v>
      </c>
      <c r="L5" s="21" t="str">
        <f>IF(I5="","",I5)</f>
        <v/>
      </c>
      <c r="M5" s="21" t="str">
        <f>IF(I5="","",I5-F5)</f>
        <v/>
      </c>
      <c r="N5" s="22" t="str">
        <f>IF(I5="","",IFERROR(I5/F5,""))</f>
        <v/>
      </c>
      <c r="O5" s="2" t="str">
        <f>IF(I5="","Not Started",IF(I5&gt;=F5,"Complete","In Progress"))</f>
        <v>Not Started</v>
      </c>
      <c r="P5" s="23" t="s">
        <v>34</v>
      </c>
    </row>
    <row r="6" ht="20" customHeight="1" spans="1:16" x14ac:dyDescent="0.25">
      <c r="A6" s="2">
        <v>5</v>
      </c>
      <c r="B6" s="4">
        <v>46238</v>
      </c>
      <c r="C6" s="2" t="str">
        <f>TEXT(B6,"mmm yyyy")</f>
        <v>Aug 2026</v>
      </c>
      <c r="D6" s="2" t="str">
        <f>TEXT(B6,"ddd")</f>
        <v>Tue</v>
      </c>
      <c r="E6" s="17">
        <v>4</v>
      </c>
      <c r="F6" s="18">
        <v>2.4</v>
      </c>
      <c r="G6" s="18">
        <f>IFERROR(F6/E6,0)</f>
        <v>0.6</v>
      </c>
      <c r="H6" s="19"/>
      <c r="I6" s="20"/>
      <c r="J6" s="21" t="str">
        <f>IF(OR(H6="",I6=""),"",I6/H6)</f>
        <v/>
      </c>
      <c r="K6" s="18">
        <v>2.4</v>
      </c>
      <c r="L6" s="21" t="str">
        <f>IF(I6="","",I6)</f>
        <v/>
      </c>
      <c r="M6" s="21" t="str">
        <f>IF(I6="","",I6-F6)</f>
        <v/>
      </c>
      <c r="N6" s="22" t="str">
        <f>IF(I6="","",IFERROR(I6/F6,""))</f>
        <v/>
      </c>
      <c r="O6" s="2" t="str">
        <f>IF(I6="","Not Started",IF(I6&gt;=F6,"Complete","In Progress"))</f>
        <v>Not Started</v>
      </c>
      <c r="P6" s="23" t="s">
        <v>34</v>
      </c>
    </row>
    <row r="7" ht="20" customHeight="1" spans="1:16" x14ac:dyDescent="0.25">
      <c r="A7" s="2">
        <v>6</v>
      </c>
      <c r="B7" s="4">
        <v>46239</v>
      </c>
      <c r="C7" s="2" t="str">
        <f>TEXT(B7,"mmm yyyy")</f>
        <v>Aug 2026</v>
      </c>
      <c r="D7" s="2" t="str">
        <f>TEXT(B7,"ddd")</f>
        <v>Wed</v>
      </c>
      <c r="E7" s="17">
        <v>4</v>
      </c>
      <c r="F7" s="18">
        <v>2.4</v>
      </c>
      <c r="G7" s="18">
        <f>IFERROR(F7/E7,0)</f>
        <v>0.6</v>
      </c>
      <c r="H7" s="19"/>
      <c r="I7" s="20"/>
      <c r="J7" s="21" t="str">
        <f>IF(OR(H7="",I7=""),"",I7/H7)</f>
        <v/>
      </c>
      <c r="K7" s="18">
        <v>2.4</v>
      </c>
      <c r="L7" s="21" t="str">
        <f>IF(I7="","",I7)</f>
        <v/>
      </c>
      <c r="M7" s="21" t="str">
        <f>IF(I7="","",I7-F7)</f>
        <v/>
      </c>
      <c r="N7" s="22" t="str">
        <f>IF(I7="","",IFERROR(I7/F7,""))</f>
        <v/>
      </c>
      <c r="O7" s="2" t="str">
        <f>IF(I7="","Not Started",IF(I7&gt;=F7,"Complete","In Progress"))</f>
        <v>Not Started</v>
      </c>
      <c r="P7" s="23" t="s">
        <v>34</v>
      </c>
    </row>
    <row r="8" ht="20" customHeight="1" spans="1:16" x14ac:dyDescent="0.25">
      <c r="A8" s="2">
        <v>7</v>
      </c>
      <c r="B8" s="4">
        <v>46240</v>
      </c>
      <c r="C8" s="2" t="str">
        <f>TEXT(B8,"mmm yyyy")</f>
        <v>Aug 2026</v>
      </c>
      <c r="D8" s="2" t="str">
        <f>TEXT(B8,"ddd")</f>
        <v>Thu</v>
      </c>
      <c r="E8" s="17">
        <v>4</v>
      </c>
      <c r="F8" s="18">
        <v>2.4</v>
      </c>
      <c r="G8" s="18">
        <f>IFERROR(F8/E8,0)</f>
        <v>0.6</v>
      </c>
      <c r="H8" s="19"/>
      <c r="I8" s="20"/>
      <c r="J8" s="21" t="str">
        <f>IF(OR(H8="",I8=""),"",I8/H8)</f>
        <v/>
      </c>
      <c r="K8" s="18">
        <v>2.4</v>
      </c>
      <c r="L8" s="21" t="str">
        <f>IF(I8="","",I8)</f>
        <v/>
      </c>
      <c r="M8" s="21" t="str">
        <f>IF(I8="","",I8-F8)</f>
        <v/>
      </c>
      <c r="N8" s="22" t="str">
        <f>IF(I8="","",IFERROR(I8/F8,""))</f>
        <v/>
      </c>
      <c r="O8" s="2" t="str">
        <f>IF(I8="","Not Started",IF(I8&gt;=F8,"Complete","In Progress"))</f>
        <v>Not Started</v>
      </c>
      <c r="P8" s="23" t="s">
        <v>34</v>
      </c>
    </row>
    <row r="9" ht="20" customHeight="1" spans="1:16" x14ac:dyDescent="0.25">
      <c r="A9" s="2">
        <v>8</v>
      </c>
      <c r="B9" s="4">
        <v>46241</v>
      </c>
      <c r="C9" s="2" t="str">
        <f>TEXT(B9,"mmm yyyy")</f>
        <v>Aug 2026</v>
      </c>
      <c r="D9" s="2" t="str">
        <f>TEXT(B9,"ddd")</f>
        <v>Fri</v>
      </c>
      <c r="E9" s="17">
        <v>4</v>
      </c>
      <c r="F9" s="18">
        <v>2.4</v>
      </c>
      <c r="G9" s="18">
        <f>IFERROR(F9/E9,0)</f>
        <v>0.6</v>
      </c>
      <c r="H9" s="19"/>
      <c r="I9" s="20"/>
      <c r="J9" s="21" t="str">
        <f>IF(OR(H9="",I9=""),"",I9/H9)</f>
        <v/>
      </c>
      <c r="K9" s="18">
        <v>2.4</v>
      </c>
      <c r="L9" s="21" t="str">
        <f>IF(I9="","",I9)</f>
        <v/>
      </c>
      <c r="M9" s="21" t="str">
        <f>IF(I9="","",I9-F9)</f>
        <v/>
      </c>
      <c r="N9" s="22" t="str">
        <f>IF(I9="","",IFERROR(I9/F9,""))</f>
        <v/>
      </c>
      <c r="O9" s="2" t="str">
        <f>IF(I9="","Not Started",IF(I9&gt;=F9,"Complete","In Progress"))</f>
        <v>Not Started</v>
      </c>
      <c r="P9" s="23" t="s">
        <v>34</v>
      </c>
    </row>
    <row r="10" ht="20" customHeight="1" spans="1:16" x14ac:dyDescent="0.25">
      <c r="A10" s="2">
        <v>9</v>
      </c>
      <c r="B10" s="4">
        <v>46244</v>
      </c>
      <c r="C10" s="2" t="str">
        <f>TEXT(B10,"mmm yyyy")</f>
        <v>Aug 2026</v>
      </c>
      <c r="D10" s="2" t="str">
        <f>TEXT(B10,"ddd")</f>
        <v>Mon</v>
      </c>
      <c r="E10" s="17">
        <v>4</v>
      </c>
      <c r="F10" s="18">
        <v>2.4</v>
      </c>
      <c r="G10" s="18">
        <f>IFERROR(F10/E10,0)</f>
        <v>0.6</v>
      </c>
      <c r="H10" s="19"/>
      <c r="I10" s="20"/>
      <c r="J10" s="21" t="str">
        <f>IF(OR(H10="",I10=""),"",I10/H10)</f>
        <v/>
      </c>
      <c r="K10" s="18">
        <v>2.4</v>
      </c>
      <c r="L10" s="21" t="str">
        <f>IF(I10="","",I10)</f>
        <v/>
      </c>
      <c r="M10" s="21" t="str">
        <f>IF(I10="","",I10-F10)</f>
        <v/>
      </c>
      <c r="N10" s="22" t="str">
        <f>IF(I10="","",IFERROR(I10/F10,""))</f>
        <v/>
      </c>
      <c r="O10" s="2" t="str">
        <f>IF(I10="","Not Started",IF(I10&gt;=F10,"Complete","In Progress"))</f>
        <v>Not Started</v>
      </c>
      <c r="P10" s="23" t="s">
        <v>34</v>
      </c>
    </row>
    <row r="11" ht="20" customHeight="1" spans="1:16" x14ac:dyDescent="0.25">
      <c r="A11" s="2">
        <v>10</v>
      </c>
      <c r="B11" s="4">
        <v>46245</v>
      </c>
      <c r="C11" s="2" t="str">
        <f>TEXT(B11,"mmm yyyy")</f>
        <v>Aug 2026</v>
      </c>
      <c r="D11" s="2" t="str">
        <f>TEXT(B11,"ddd")</f>
        <v>Tue</v>
      </c>
      <c r="E11" s="17">
        <v>4</v>
      </c>
      <c r="F11" s="18">
        <v>2.4</v>
      </c>
      <c r="G11" s="18">
        <f>IFERROR(F11/E11,0)</f>
        <v>0.6</v>
      </c>
      <c r="H11" s="19"/>
      <c r="I11" s="20"/>
      <c r="J11" s="21" t="str">
        <f>IF(OR(H11="",I11=""),"",I11/H11)</f>
        <v/>
      </c>
      <c r="K11" s="18">
        <v>2.4</v>
      </c>
      <c r="L11" s="21" t="str">
        <f>IF(I11="","",I11)</f>
        <v/>
      </c>
      <c r="M11" s="21" t="str">
        <f>IF(I11="","",I11-F11)</f>
        <v/>
      </c>
      <c r="N11" s="22" t="str">
        <f>IF(I11="","",IFERROR(I11/F11,""))</f>
        <v/>
      </c>
      <c r="O11" s="2" t="str">
        <f>IF(I11="","Not Started",IF(I11&gt;=F11,"Complete","In Progress"))</f>
        <v>Not Started</v>
      </c>
      <c r="P11" s="23" t="s">
        <v>34</v>
      </c>
    </row>
    <row r="12" ht="20" customHeight="1" spans="1:16" x14ac:dyDescent="0.25">
      <c r="A12" s="2">
        <v>11</v>
      </c>
      <c r="B12" s="4">
        <v>46246</v>
      </c>
      <c r="C12" s="2" t="str">
        <f>TEXT(B12,"mmm yyyy")</f>
        <v>Aug 2026</v>
      </c>
      <c r="D12" s="2" t="str">
        <f>TEXT(B12,"ddd")</f>
        <v>Wed</v>
      </c>
      <c r="E12" s="17">
        <v>4</v>
      </c>
      <c r="F12" s="18">
        <v>2.4</v>
      </c>
      <c r="G12" s="18">
        <f>IFERROR(F12/E12,0)</f>
        <v>0.6</v>
      </c>
      <c r="H12" s="19"/>
      <c r="I12" s="20"/>
      <c r="J12" s="21" t="str">
        <f>IF(OR(H12="",I12=""),"",I12/H12)</f>
        <v/>
      </c>
      <c r="K12" s="18">
        <v>2.4</v>
      </c>
      <c r="L12" s="21" t="str">
        <f>IF(I12="","",I12)</f>
        <v/>
      </c>
      <c r="M12" s="21" t="str">
        <f>IF(I12="","",I12-F12)</f>
        <v/>
      </c>
      <c r="N12" s="22" t="str">
        <f>IF(I12="","",IFERROR(I12/F12,""))</f>
        <v/>
      </c>
      <c r="O12" s="2" t="str">
        <f>IF(I12="","Not Started",IF(I12&gt;=F12,"Complete","In Progress"))</f>
        <v>Not Started</v>
      </c>
      <c r="P12" s="23" t="s">
        <v>35</v>
      </c>
    </row>
    <row r="13" ht="20" customHeight="1" spans="1:16" x14ac:dyDescent="0.25">
      <c r="A13" s="2">
        <v>12</v>
      </c>
      <c r="B13" s="4">
        <v>46247</v>
      </c>
      <c r="C13" s="2" t="str">
        <f>TEXT(B13,"mmm yyyy")</f>
        <v>Aug 2026</v>
      </c>
      <c r="D13" s="2" t="str">
        <f>TEXT(B13,"ddd")</f>
        <v>Thu</v>
      </c>
      <c r="E13" s="17">
        <v>4</v>
      </c>
      <c r="F13" s="18">
        <v>2.4</v>
      </c>
      <c r="G13" s="18">
        <f>IFERROR(F13/E13,0)</f>
        <v>0.6</v>
      </c>
      <c r="H13" s="19"/>
      <c r="I13" s="20"/>
      <c r="J13" s="21" t="str">
        <f>IF(OR(H13="",I13=""),"",I13/H13)</f>
        <v/>
      </c>
      <c r="K13" s="18">
        <v>2.4</v>
      </c>
      <c r="L13" s="21" t="str">
        <f>IF(I13="","",I13)</f>
        <v/>
      </c>
      <c r="M13" s="21" t="str">
        <f>IF(I13="","",I13-F13)</f>
        <v/>
      </c>
      <c r="N13" s="22" t="str">
        <f>IF(I13="","",IFERROR(I13/F13,""))</f>
        <v/>
      </c>
      <c r="O13" s="2" t="str">
        <f>IF(I13="","Not Started",IF(I13&gt;=F13,"Complete","In Progress"))</f>
        <v>Not Started</v>
      </c>
      <c r="P13" s="23" t="s">
        <v>35</v>
      </c>
    </row>
    <row r="14" ht="20" customHeight="1" spans="1:16" x14ac:dyDescent="0.25">
      <c r="A14" s="2">
        <v>13</v>
      </c>
      <c r="B14" s="4">
        <v>46248</v>
      </c>
      <c r="C14" s="2" t="str">
        <f>TEXT(B14,"mmm yyyy")</f>
        <v>Aug 2026</v>
      </c>
      <c r="D14" s="2" t="str">
        <f>TEXT(B14,"ddd")</f>
        <v>Fri</v>
      </c>
      <c r="E14" s="17">
        <v>4</v>
      </c>
      <c r="F14" s="18">
        <v>2.4</v>
      </c>
      <c r="G14" s="18">
        <f>IFERROR(F14/E14,0)</f>
        <v>0.6</v>
      </c>
      <c r="H14" s="19"/>
      <c r="I14" s="20"/>
      <c r="J14" s="21" t="str">
        <f>IF(OR(H14="",I14=""),"",I14/H14)</f>
        <v/>
      </c>
      <c r="K14" s="18">
        <v>2.4</v>
      </c>
      <c r="L14" s="21" t="str">
        <f>IF(I14="","",I14)</f>
        <v/>
      </c>
      <c r="M14" s="21" t="str">
        <f>IF(I14="","",I14-F14)</f>
        <v/>
      </c>
      <c r="N14" s="22" t="str">
        <f>IF(I14="","",IFERROR(I14/F14,""))</f>
        <v/>
      </c>
      <c r="O14" s="2" t="str">
        <f>IF(I14="","Not Started",IF(I14&gt;=F14,"Complete","In Progress"))</f>
        <v>Not Started</v>
      </c>
      <c r="P14" s="23" t="s">
        <v>35</v>
      </c>
    </row>
    <row r="15" ht="20" customHeight="1" spans="1:16" x14ac:dyDescent="0.25">
      <c r="A15" s="2">
        <v>14</v>
      </c>
      <c r="B15" s="4">
        <v>46251</v>
      </c>
      <c r="C15" s="2" t="str">
        <f>TEXT(B15,"mmm yyyy")</f>
        <v>Aug 2026</v>
      </c>
      <c r="D15" s="2" t="str">
        <f>TEXT(B15,"ddd")</f>
        <v>Mon</v>
      </c>
      <c r="E15" s="17">
        <v>4</v>
      </c>
      <c r="F15" s="18">
        <v>2.4</v>
      </c>
      <c r="G15" s="18">
        <f>IFERROR(F15/E15,0)</f>
        <v>0.6</v>
      </c>
      <c r="H15" s="19"/>
      <c r="I15" s="20"/>
      <c r="J15" s="21" t="str">
        <f>IF(OR(H15="",I15=""),"",I15/H15)</f>
        <v/>
      </c>
      <c r="K15" s="18">
        <v>2.4</v>
      </c>
      <c r="L15" s="21" t="str">
        <f>IF(I15="","",I15)</f>
        <v/>
      </c>
      <c r="M15" s="21" t="str">
        <f>IF(I15="","",I15-F15)</f>
        <v/>
      </c>
      <c r="N15" s="22" t="str">
        <f>IF(I15="","",IFERROR(I15/F15,""))</f>
        <v/>
      </c>
      <c r="O15" s="2" t="str">
        <f>IF(I15="","Not Started",IF(I15&gt;=F15,"Complete","In Progress"))</f>
        <v>Not Started</v>
      </c>
      <c r="P15" s="23" t="s">
        <v>35</v>
      </c>
    </row>
    <row r="16" ht="20" customHeight="1" spans="1:16" x14ac:dyDescent="0.25">
      <c r="A16" s="2">
        <v>15</v>
      </c>
      <c r="B16" s="4">
        <v>46252</v>
      </c>
      <c r="C16" s="2" t="str">
        <f>TEXT(B16,"mmm yyyy")</f>
        <v>Aug 2026</v>
      </c>
      <c r="D16" s="2" t="str">
        <f>TEXT(B16,"ddd")</f>
        <v>Tue</v>
      </c>
      <c r="E16" s="17">
        <v>4</v>
      </c>
      <c r="F16" s="18">
        <v>2.4</v>
      </c>
      <c r="G16" s="18">
        <f>IFERROR(F16/E16,0)</f>
        <v>0.6</v>
      </c>
      <c r="H16" s="19"/>
      <c r="I16" s="20"/>
      <c r="J16" s="21" t="str">
        <f>IF(OR(H16="",I16=""),"",I16/H16)</f>
        <v/>
      </c>
      <c r="K16" s="18">
        <v>2.4</v>
      </c>
      <c r="L16" s="21" t="str">
        <f>IF(I16="","",I16)</f>
        <v/>
      </c>
      <c r="M16" s="21" t="str">
        <f>IF(I16="","",I16-F16)</f>
        <v/>
      </c>
      <c r="N16" s="22" t="str">
        <f>IF(I16="","",IFERROR(I16/F16,""))</f>
        <v/>
      </c>
      <c r="O16" s="2" t="str">
        <f>IF(I16="","Not Started",IF(I16&gt;=F16,"Complete","In Progress"))</f>
        <v>Not Started</v>
      </c>
      <c r="P16" s="23" t="s">
        <v>35</v>
      </c>
    </row>
    <row r="17" ht="20" customHeight="1" spans="1:16" x14ac:dyDescent="0.25">
      <c r="A17" s="2">
        <v>16</v>
      </c>
      <c r="B17" s="4">
        <v>46253</v>
      </c>
      <c r="C17" s="2" t="str">
        <f>TEXT(B17,"mmm yyyy")</f>
        <v>Aug 2026</v>
      </c>
      <c r="D17" s="2" t="str">
        <f>TEXT(B17,"ddd")</f>
        <v>Wed</v>
      </c>
      <c r="E17" s="17">
        <v>4</v>
      </c>
      <c r="F17" s="18">
        <v>2.4</v>
      </c>
      <c r="G17" s="18">
        <f>IFERROR(F17/E17,0)</f>
        <v>0.6</v>
      </c>
      <c r="H17" s="19"/>
      <c r="I17" s="20"/>
      <c r="J17" s="21" t="str">
        <f>IF(OR(H17="",I17=""),"",I17/H17)</f>
        <v/>
      </c>
      <c r="K17" s="18">
        <v>2.4</v>
      </c>
      <c r="L17" s="21" t="str">
        <f>IF(I17="","",I17)</f>
        <v/>
      </c>
      <c r="M17" s="21" t="str">
        <f>IF(I17="","",I17-F17)</f>
        <v/>
      </c>
      <c r="N17" s="22" t="str">
        <f>IF(I17="","",IFERROR(I17/F17,""))</f>
        <v/>
      </c>
      <c r="O17" s="2" t="str">
        <f>IF(I17="","Not Started",IF(I17&gt;=F17,"Complete","In Progress"))</f>
        <v>Not Started</v>
      </c>
      <c r="P17" s="23" t="s">
        <v>35</v>
      </c>
    </row>
    <row r="18" ht="20" customHeight="1" spans="1:16" x14ac:dyDescent="0.25">
      <c r="A18" s="2">
        <v>17</v>
      </c>
      <c r="B18" s="4">
        <v>46254</v>
      </c>
      <c r="C18" s="2" t="str">
        <f>TEXT(B18,"mmm yyyy")</f>
        <v>Aug 2026</v>
      </c>
      <c r="D18" s="2" t="str">
        <f>TEXT(B18,"ddd")</f>
        <v>Thu</v>
      </c>
      <c r="E18" s="17">
        <v>4</v>
      </c>
      <c r="F18" s="18">
        <v>2.4</v>
      </c>
      <c r="G18" s="18">
        <f>IFERROR(F18/E18,0)</f>
        <v>0.6</v>
      </c>
      <c r="H18" s="19"/>
      <c r="I18" s="20"/>
      <c r="J18" s="21" t="str">
        <f>IF(OR(H18="",I18=""),"",I18/H18)</f>
        <v/>
      </c>
      <c r="K18" s="18">
        <v>2.4</v>
      </c>
      <c r="L18" s="21" t="str">
        <f>IF(I18="","",I18)</f>
        <v/>
      </c>
      <c r="M18" s="21" t="str">
        <f>IF(I18="","",I18-F18)</f>
        <v/>
      </c>
      <c r="N18" s="22" t="str">
        <f>IF(I18="","",IFERROR(I18/F18,""))</f>
        <v/>
      </c>
      <c r="O18" s="2" t="str">
        <f>IF(I18="","Not Started",IF(I18&gt;=F18,"Complete","In Progress"))</f>
        <v>Not Started</v>
      </c>
      <c r="P18" s="23" t="s">
        <v>35</v>
      </c>
    </row>
    <row r="19" ht="20" customHeight="1" spans="1:16" x14ac:dyDescent="0.25">
      <c r="A19" s="2">
        <v>18</v>
      </c>
      <c r="B19" s="4">
        <v>46255</v>
      </c>
      <c r="C19" s="2" t="str">
        <f>TEXT(B19,"mmm yyyy")</f>
        <v>Aug 2026</v>
      </c>
      <c r="D19" s="2" t="str">
        <f>TEXT(B19,"ddd")</f>
        <v>Fri</v>
      </c>
      <c r="E19" s="17">
        <v>4</v>
      </c>
      <c r="F19" s="18">
        <v>2.4</v>
      </c>
      <c r="G19" s="18">
        <f>IFERROR(F19/E19,0)</f>
        <v>0.6</v>
      </c>
      <c r="H19" s="19"/>
      <c r="I19" s="20"/>
      <c r="J19" s="21" t="str">
        <f>IF(OR(H19="",I19=""),"",I19/H19)</f>
        <v/>
      </c>
      <c r="K19" s="18">
        <v>2.4</v>
      </c>
      <c r="L19" s="21" t="str">
        <f>IF(I19="","",I19)</f>
        <v/>
      </c>
      <c r="M19" s="21" t="str">
        <f>IF(I19="","",I19-F19)</f>
        <v/>
      </c>
      <c r="N19" s="22" t="str">
        <f>IF(I19="","",IFERROR(I19/F19,""))</f>
        <v/>
      </c>
      <c r="O19" s="2" t="str">
        <f>IF(I19="","Not Started",IF(I19&gt;=F19,"Complete","In Progress"))</f>
        <v>Not Started</v>
      </c>
      <c r="P19" s="23" t="s">
        <v>35</v>
      </c>
    </row>
    <row r="20" ht="20" customHeight="1" spans="1:16" x14ac:dyDescent="0.25">
      <c r="A20" s="2">
        <v>19</v>
      </c>
      <c r="B20" s="4">
        <v>46258</v>
      </c>
      <c r="C20" s="2" t="str">
        <f>TEXT(B20,"mmm yyyy")</f>
        <v>Aug 2026</v>
      </c>
      <c r="D20" s="2" t="str">
        <f>TEXT(B20,"ddd")</f>
        <v>Mon</v>
      </c>
      <c r="E20" s="17">
        <v>4</v>
      </c>
      <c r="F20" s="18">
        <v>2.4</v>
      </c>
      <c r="G20" s="18">
        <f>IFERROR(F20/E20,0)</f>
        <v>0.6</v>
      </c>
      <c r="H20" s="19"/>
      <c r="I20" s="20"/>
      <c r="J20" s="21" t="str">
        <f>IF(OR(H20="",I20=""),"",I20/H20)</f>
        <v/>
      </c>
      <c r="K20" s="18">
        <v>2.4</v>
      </c>
      <c r="L20" s="21" t="str">
        <f>IF(I20="","",I20)</f>
        <v/>
      </c>
      <c r="M20" s="21" t="str">
        <f>IF(I20="","",I20-F20)</f>
        <v/>
      </c>
      <c r="N20" s="22" t="str">
        <f>IF(I20="","",IFERROR(I20/F20,""))</f>
        <v/>
      </c>
      <c r="O20" s="2" t="str">
        <f>IF(I20="","Not Started",IF(I20&gt;=F20,"Complete","In Progress"))</f>
        <v>Not Started</v>
      </c>
      <c r="P20" s="23" t="s">
        <v>35</v>
      </c>
    </row>
    <row r="21" ht="20" customHeight="1" spans="1:16" x14ac:dyDescent="0.25">
      <c r="A21" s="2">
        <v>20</v>
      </c>
      <c r="B21" s="4">
        <v>46259</v>
      </c>
      <c r="C21" s="2" t="str">
        <f>TEXT(B21,"mmm yyyy")</f>
        <v>Aug 2026</v>
      </c>
      <c r="D21" s="2" t="str">
        <f>TEXT(B21,"ddd")</f>
        <v>Tue</v>
      </c>
      <c r="E21" s="17">
        <v>4</v>
      </c>
      <c r="F21" s="18">
        <v>2.4</v>
      </c>
      <c r="G21" s="18">
        <f>IFERROR(F21/E21,0)</f>
        <v>0.6</v>
      </c>
      <c r="H21" s="19"/>
      <c r="I21" s="20"/>
      <c r="J21" s="21" t="str">
        <f>IF(OR(H21="",I21=""),"",I21/H21)</f>
        <v/>
      </c>
      <c r="K21" s="18">
        <v>2.4</v>
      </c>
      <c r="L21" s="21" t="str">
        <f>IF(I21="","",I21)</f>
        <v/>
      </c>
      <c r="M21" s="21" t="str">
        <f>IF(I21="","",I21-F21)</f>
        <v/>
      </c>
      <c r="N21" s="22" t="str">
        <f>IF(I21="","",IFERROR(I21/F21,""))</f>
        <v/>
      </c>
      <c r="O21" s="2" t="str">
        <f>IF(I21="","Not Started",IF(I21&gt;=F21,"Complete","In Progress"))</f>
        <v>Not Started</v>
      </c>
      <c r="P21" s="23" t="s">
        <v>35</v>
      </c>
    </row>
    <row r="22" ht="20" customHeight="1" spans="1:16" x14ac:dyDescent="0.25">
      <c r="A22" s="2">
        <v>21</v>
      </c>
      <c r="B22" s="4">
        <v>46260</v>
      </c>
      <c r="C22" s="2" t="str">
        <f>TEXT(B22,"mmm yyyy")</f>
        <v>Aug 2026</v>
      </c>
      <c r="D22" s="2" t="str">
        <f>TEXT(B22,"ddd")</f>
        <v>Wed</v>
      </c>
      <c r="E22" s="17">
        <v>4</v>
      </c>
      <c r="F22" s="18">
        <v>2.4</v>
      </c>
      <c r="G22" s="18">
        <f>IFERROR(F22/E22,0)</f>
        <v>0.6</v>
      </c>
      <c r="H22" s="19"/>
      <c r="I22" s="20"/>
      <c r="J22" s="21" t="str">
        <f>IF(OR(H22="",I22=""),"",I22/H22)</f>
        <v/>
      </c>
      <c r="K22" s="18">
        <v>2.4</v>
      </c>
      <c r="L22" s="21" t="str">
        <f>IF(I22="","",I22)</f>
        <v/>
      </c>
      <c r="M22" s="21" t="str">
        <f>IF(I22="","",I22-F22)</f>
        <v/>
      </c>
      <c r="N22" s="22" t="str">
        <f>IF(I22="","",IFERROR(I22/F22,""))</f>
        <v/>
      </c>
      <c r="O22" s="2" t="str">
        <f>IF(I22="","Not Started",IF(I22&gt;=F22,"Complete","In Progress"))</f>
        <v>Not Started</v>
      </c>
      <c r="P22" s="23" t="s">
        <v>36</v>
      </c>
    </row>
    <row r="23" ht="20" customHeight="1" spans="1:16" x14ac:dyDescent="0.25">
      <c r="A23" s="2">
        <v>22</v>
      </c>
      <c r="B23" s="4">
        <v>46261</v>
      </c>
      <c r="C23" s="2" t="str">
        <f>TEXT(B23,"mmm yyyy")</f>
        <v>Aug 2026</v>
      </c>
      <c r="D23" s="2" t="str">
        <f>TEXT(B23,"ddd")</f>
        <v>Thu</v>
      </c>
      <c r="E23" s="17">
        <v>4</v>
      </c>
      <c r="F23" s="18">
        <v>2.4</v>
      </c>
      <c r="G23" s="18">
        <f>IFERROR(F23/E23,0)</f>
        <v>0.6</v>
      </c>
      <c r="H23" s="19"/>
      <c r="I23" s="20"/>
      <c r="J23" s="21" t="str">
        <f>IF(OR(H23="",I23=""),"",I23/H23)</f>
        <v/>
      </c>
      <c r="K23" s="18">
        <v>2.4</v>
      </c>
      <c r="L23" s="21" t="str">
        <f>IF(I23="","",I23)</f>
        <v/>
      </c>
      <c r="M23" s="21" t="str">
        <f>IF(I23="","",I23-F23)</f>
        <v/>
      </c>
      <c r="N23" s="22" t="str">
        <f>IF(I23="","",IFERROR(I23/F23,""))</f>
        <v/>
      </c>
      <c r="O23" s="2" t="str">
        <f>IF(I23="","Not Started",IF(I23&gt;=F23,"Complete","In Progress"))</f>
        <v>Not Started</v>
      </c>
      <c r="P23" s="23" t="s">
        <v>36</v>
      </c>
    </row>
    <row r="24" ht="20" customHeight="1" spans="1:16" x14ac:dyDescent="0.25">
      <c r="A24" s="2">
        <v>23</v>
      </c>
      <c r="B24" s="4">
        <v>46262</v>
      </c>
      <c r="C24" s="2" t="str">
        <f>TEXT(B24,"mmm yyyy")</f>
        <v>Aug 2026</v>
      </c>
      <c r="D24" s="2" t="str">
        <f>TEXT(B24,"ddd")</f>
        <v>Fri</v>
      </c>
      <c r="E24" s="17">
        <v>4</v>
      </c>
      <c r="F24" s="18">
        <v>2.4</v>
      </c>
      <c r="G24" s="18">
        <f>IFERROR(F24/E24,0)</f>
        <v>0.6</v>
      </c>
      <c r="H24" s="19"/>
      <c r="I24" s="20"/>
      <c r="J24" s="21" t="str">
        <f>IF(OR(H24="",I24=""),"",I24/H24)</f>
        <v/>
      </c>
      <c r="K24" s="18">
        <v>2.4</v>
      </c>
      <c r="L24" s="21" t="str">
        <f>IF(I24="","",I24)</f>
        <v/>
      </c>
      <c r="M24" s="21" t="str">
        <f>IF(I24="","",I24-F24)</f>
        <v/>
      </c>
      <c r="N24" s="22" t="str">
        <f>IF(I24="","",IFERROR(I24/F24,""))</f>
        <v/>
      </c>
      <c r="O24" s="2" t="str">
        <f>IF(I24="","Not Started",IF(I24&gt;=F24,"Complete","In Progress"))</f>
        <v>Not Started</v>
      </c>
      <c r="P24" s="23" t="s">
        <v>36</v>
      </c>
    </row>
    <row r="25" ht="20" customHeight="1" spans="1:16" x14ac:dyDescent="0.25">
      <c r="A25" s="2">
        <v>24</v>
      </c>
      <c r="B25" s="4">
        <v>46265</v>
      </c>
      <c r="C25" s="2" t="str">
        <f>TEXT(B25,"mmm yyyy")</f>
        <v>Aug 2026</v>
      </c>
      <c r="D25" s="2" t="str">
        <f>TEXT(B25,"ddd")</f>
        <v>Mon</v>
      </c>
      <c r="E25" s="17">
        <v>4</v>
      </c>
      <c r="F25" s="18">
        <v>2.4</v>
      </c>
      <c r="G25" s="18">
        <f>IFERROR(F25/E25,0)</f>
        <v>0.6</v>
      </c>
      <c r="H25" s="19"/>
      <c r="I25" s="20"/>
      <c r="J25" s="21" t="str">
        <f>IF(OR(H25="",I25=""),"",I25/H25)</f>
        <v/>
      </c>
      <c r="K25" s="18">
        <v>2.4</v>
      </c>
      <c r="L25" s="21" t="str">
        <f>IF(I25="","",I25)</f>
        <v/>
      </c>
      <c r="M25" s="21" t="str">
        <f>IF(I25="","",I25-F25)</f>
        <v/>
      </c>
      <c r="N25" s="22" t="str">
        <f>IF(I25="","",IFERROR(I25/F25,""))</f>
        <v/>
      </c>
      <c r="O25" s="2" t="str">
        <f>IF(I25="","Not Started",IF(I25&gt;=F25,"Complete","In Progress"))</f>
        <v>Not Started</v>
      </c>
      <c r="P25" s="23" t="s">
        <v>36</v>
      </c>
    </row>
    <row r="26" ht="20" customHeight="1" spans="1:16" x14ac:dyDescent="0.25">
      <c r="A26" s="2">
        <v>25</v>
      </c>
      <c r="B26" s="4">
        <v>46266</v>
      </c>
      <c r="C26" s="2" t="str">
        <f>TEXT(B26,"mmm yyyy")</f>
        <v>Sep 2026</v>
      </c>
      <c r="D26" s="2" t="str">
        <f>TEXT(B26,"ddd")</f>
        <v>Tue</v>
      </c>
      <c r="E26" s="17">
        <v>4</v>
      </c>
      <c r="F26" s="18">
        <v>2.4</v>
      </c>
      <c r="G26" s="18">
        <f>IFERROR(F26/E26,0)</f>
        <v>0.6</v>
      </c>
      <c r="H26" s="19"/>
      <c r="I26" s="20"/>
      <c r="J26" s="21" t="str">
        <f>IF(OR(H26="",I26=""),"",I26/H26)</f>
        <v/>
      </c>
      <c r="K26" s="18">
        <v>2.4</v>
      </c>
      <c r="L26" s="21" t="str">
        <f>IF(I26="","",I26)</f>
        <v/>
      </c>
      <c r="M26" s="21" t="str">
        <f>IF(I26="","",I26-F26)</f>
        <v/>
      </c>
      <c r="N26" s="22" t="str">
        <f>IF(I26="","",IFERROR(I26/F26,""))</f>
        <v/>
      </c>
      <c r="O26" s="2" t="str">
        <f>IF(I26="","Not Started",IF(I26&gt;=F26,"Complete","In Progress"))</f>
        <v>Not Started</v>
      </c>
      <c r="P26" s="23" t="s">
        <v>36</v>
      </c>
    </row>
    <row r="27" ht="20" customHeight="1" spans="1:16" x14ac:dyDescent="0.25">
      <c r="A27" s="2">
        <v>26</v>
      </c>
      <c r="B27" s="4">
        <v>46267</v>
      </c>
      <c r="C27" s="2" t="str">
        <f>TEXT(B27,"mmm yyyy")</f>
        <v>Sep 2026</v>
      </c>
      <c r="D27" s="2" t="str">
        <f>TEXT(B27,"ddd")</f>
        <v>Wed</v>
      </c>
      <c r="E27" s="17">
        <v>4</v>
      </c>
      <c r="F27" s="18">
        <v>2.4</v>
      </c>
      <c r="G27" s="18">
        <f>IFERROR(F27/E27,0)</f>
        <v>0.6</v>
      </c>
      <c r="H27" s="19"/>
      <c r="I27" s="20"/>
      <c r="J27" s="21" t="str">
        <f>IF(OR(H27="",I27=""),"",I27/H27)</f>
        <v/>
      </c>
      <c r="K27" s="18">
        <v>2.4</v>
      </c>
      <c r="L27" s="21" t="str">
        <f>IF(I27="","",I27)</f>
        <v/>
      </c>
      <c r="M27" s="21" t="str">
        <f>IF(I27="","",I27-F27)</f>
        <v/>
      </c>
      <c r="N27" s="22" t="str">
        <f>IF(I27="","",IFERROR(I27/F27,""))</f>
        <v/>
      </c>
      <c r="O27" s="2" t="str">
        <f>IF(I27="","Not Started",IF(I27&gt;=F27,"Complete","In Progress"))</f>
        <v>Not Started</v>
      </c>
      <c r="P27" s="23" t="s">
        <v>36</v>
      </c>
    </row>
    <row r="28" ht="20" customHeight="1" spans="1:16" x14ac:dyDescent="0.25">
      <c r="A28" s="2">
        <v>27</v>
      </c>
      <c r="B28" s="4">
        <v>46268</v>
      </c>
      <c r="C28" s="2" t="str">
        <f>TEXT(B28,"mmm yyyy")</f>
        <v>Sep 2026</v>
      </c>
      <c r="D28" s="2" t="str">
        <f>TEXT(B28,"ddd")</f>
        <v>Thu</v>
      </c>
      <c r="E28" s="17">
        <v>4</v>
      </c>
      <c r="F28" s="18">
        <v>2.4</v>
      </c>
      <c r="G28" s="18">
        <f>IFERROR(F28/E28,0)</f>
        <v>0.6</v>
      </c>
      <c r="H28" s="19"/>
      <c r="I28" s="20"/>
      <c r="J28" s="21" t="str">
        <f>IF(OR(H28="",I28=""),"",I28/H28)</f>
        <v/>
      </c>
      <c r="K28" s="18">
        <v>2.4</v>
      </c>
      <c r="L28" s="21" t="str">
        <f>IF(I28="","",I28)</f>
        <v/>
      </c>
      <c r="M28" s="21" t="str">
        <f>IF(I28="","",I28-F28)</f>
        <v/>
      </c>
      <c r="N28" s="22" t="str">
        <f>IF(I28="","",IFERROR(I28/F28,""))</f>
        <v/>
      </c>
      <c r="O28" s="2" t="str">
        <f>IF(I28="","Not Started",IF(I28&gt;=F28,"Complete","In Progress"))</f>
        <v>Not Started</v>
      </c>
      <c r="P28" s="23" t="s">
        <v>36</v>
      </c>
    </row>
    <row r="29" ht="20" customHeight="1" spans="1:16" x14ac:dyDescent="0.25">
      <c r="A29" s="2">
        <v>28</v>
      </c>
      <c r="B29" s="4">
        <v>46269</v>
      </c>
      <c r="C29" s="2" t="str">
        <f>TEXT(B29,"mmm yyyy")</f>
        <v>Sep 2026</v>
      </c>
      <c r="D29" s="2" t="str">
        <f>TEXT(B29,"ddd")</f>
        <v>Fri</v>
      </c>
      <c r="E29" s="17">
        <v>4</v>
      </c>
      <c r="F29" s="18">
        <v>2.4</v>
      </c>
      <c r="G29" s="18">
        <f>IFERROR(F29/E29,0)</f>
        <v>0.6</v>
      </c>
      <c r="H29" s="19"/>
      <c r="I29" s="20"/>
      <c r="J29" s="21" t="str">
        <f>IF(OR(H29="",I29=""),"",I29/H29)</f>
        <v/>
      </c>
      <c r="K29" s="18">
        <v>2.4</v>
      </c>
      <c r="L29" s="21" t="str">
        <f>IF(I29="","",I29)</f>
        <v/>
      </c>
      <c r="M29" s="21" t="str">
        <f>IF(I29="","",I29-F29)</f>
        <v/>
      </c>
      <c r="N29" s="22" t="str">
        <f>IF(I29="","",IFERROR(I29/F29,""))</f>
        <v/>
      </c>
      <c r="O29" s="2" t="str">
        <f>IF(I29="","Not Started",IF(I29&gt;=F29,"Complete","In Progress"))</f>
        <v>Not Started</v>
      </c>
      <c r="P29" s="23" t="s">
        <v>36</v>
      </c>
    </row>
    <row r="30" ht="20" customHeight="1" spans="1:16" x14ac:dyDescent="0.25">
      <c r="A30" s="2">
        <v>29</v>
      </c>
      <c r="B30" s="4">
        <v>46272</v>
      </c>
      <c r="C30" s="2" t="str">
        <f>TEXT(B30,"mmm yyyy")</f>
        <v>Sep 2026</v>
      </c>
      <c r="D30" s="2" t="str">
        <f>TEXT(B30,"ddd")</f>
        <v>Mon</v>
      </c>
      <c r="E30" s="17">
        <v>4</v>
      </c>
      <c r="F30" s="18">
        <v>2.4</v>
      </c>
      <c r="G30" s="18">
        <f>IFERROR(F30/E30,0)</f>
        <v>0.6</v>
      </c>
      <c r="H30" s="19"/>
      <c r="I30" s="20"/>
      <c r="J30" s="21" t="str">
        <f>IF(OR(H30="",I30=""),"",I30/H30)</f>
        <v/>
      </c>
      <c r="K30" s="18">
        <v>2.4</v>
      </c>
      <c r="L30" s="21" t="str">
        <f>IF(I30="","",I30)</f>
        <v/>
      </c>
      <c r="M30" s="21" t="str">
        <f>IF(I30="","",I30-F30)</f>
        <v/>
      </c>
      <c r="N30" s="22" t="str">
        <f>IF(I30="","",IFERROR(I30/F30,""))</f>
        <v/>
      </c>
      <c r="O30" s="2" t="str">
        <f>IF(I30="","Not Started",IF(I30&gt;=F30,"Complete","In Progress"))</f>
        <v>Not Started</v>
      </c>
      <c r="P30" s="23" t="s">
        <v>36</v>
      </c>
    </row>
    <row r="31" ht="20" customHeight="1" spans="1:16" x14ac:dyDescent="0.25">
      <c r="A31" s="2">
        <v>30</v>
      </c>
      <c r="B31" s="4">
        <v>46273</v>
      </c>
      <c r="C31" s="2" t="str">
        <f>TEXT(B31,"mmm yyyy")</f>
        <v>Sep 2026</v>
      </c>
      <c r="D31" s="2" t="str">
        <f>TEXT(B31,"ddd")</f>
        <v>Tue</v>
      </c>
      <c r="E31" s="17">
        <v>4</v>
      </c>
      <c r="F31" s="18">
        <v>2.4</v>
      </c>
      <c r="G31" s="18">
        <f>IFERROR(F31/E31,0)</f>
        <v>0.6</v>
      </c>
      <c r="H31" s="19"/>
      <c r="I31" s="20"/>
      <c r="J31" s="21" t="str">
        <f>IF(OR(H31="",I31=""),"",I31/H31)</f>
        <v/>
      </c>
      <c r="K31" s="18">
        <v>2.4</v>
      </c>
      <c r="L31" s="21" t="str">
        <f>IF(I31="","",I31)</f>
        <v/>
      </c>
      <c r="M31" s="21" t="str">
        <f>IF(I31="","",I31-F31)</f>
        <v/>
      </c>
      <c r="N31" s="22" t="str">
        <f>IF(I31="","",IFERROR(I31/F31,""))</f>
        <v/>
      </c>
      <c r="O31" s="2" t="str">
        <f>IF(I31="","Not Started",IF(I31&gt;=F31,"Complete","In Progress"))</f>
        <v>Not Started</v>
      </c>
      <c r="P31" s="23" t="s">
        <v>36</v>
      </c>
    </row>
    <row r="32" ht="20" customHeight="1" spans="1:16" x14ac:dyDescent="0.25">
      <c r="A32" s="2">
        <v>31</v>
      </c>
      <c r="B32" s="4">
        <v>46274</v>
      </c>
      <c r="C32" s="2" t="str">
        <f>TEXT(B32,"mmm yyyy")</f>
        <v>Sep 2026</v>
      </c>
      <c r="D32" s="2" t="str">
        <f>TEXT(B32,"ddd")</f>
        <v>Wed</v>
      </c>
      <c r="E32" s="17">
        <v>4</v>
      </c>
      <c r="F32" s="18">
        <v>2.4</v>
      </c>
      <c r="G32" s="18">
        <f>IFERROR(F32/E32,0)</f>
        <v>0.6</v>
      </c>
      <c r="H32" s="19"/>
      <c r="I32" s="20"/>
      <c r="J32" s="21" t="str">
        <f>IF(OR(H32="",I32=""),"",I32/H32)</f>
        <v/>
      </c>
      <c r="K32" s="18">
        <v>2.4</v>
      </c>
      <c r="L32" s="21" t="str">
        <f>IF(I32="","",I32)</f>
        <v/>
      </c>
      <c r="M32" s="21" t="str">
        <f>IF(I32="","",I32-F32)</f>
        <v/>
      </c>
      <c r="N32" s="22" t="str">
        <f>IF(I32="","",IFERROR(I32/F32,""))</f>
        <v/>
      </c>
      <c r="O32" s="2" t="str">
        <f>IF(I32="","Not Started",IF(I32&gt;=F32,"Complete","In Progress"))</f>
        <v>Not Started</v>
      </c>
      <c r="P32" s="23" t="s">
        <v>37</v>
      </c>
    </row>
    <row r="33" ht="20" customHeight="1" spans="1:16" x14ac:dyDescent="0.25">
      <c r="A33" s="2">
        <v>32</v>
      </c>
      <c r="B33" s="4">
        <v>46275</v>
      </c>
      <c r="C33" s="2" t="str">
        <f>TEXT(B33,"mmm yyyy")</f>
        <v>Sep 2026</v>
      </c>
      <c r="D33" s="2" t="str">
        <f>TEXT(B33,"ddd")</f>
        <v>Thu</v>
      </c>
      <c r="E33" s="17">
        <v>4</v>
      </c>
      <c r="F33" s="18">
        <v>2.4</v>
      </c>
      <c r="G33" s="18">
        <f>IFERROR(F33/E33,0)</f>
        <v>0.6</v>
      </c>
      <c r="H33" s="19"/>
      <c r="I33" s="20"/>
      <c r="J33" s="21" t="str">
        <f>IF(OR(H33="",I33=""),"",I33/H33)</f>
        <v/>
      </c>
      <c r="K33" s="18">
        <v>2.4</v>
      </c>
      <c r="L33" s="21" t="str">
        <f>IF(I33="","",I33)</f>
        <v/>
      </c>
      <c r="M33" s="21" t="str">
        <f>IF(I33="","",I33-F33)</f>
        <v/>
      </c>
      <c r="N33" s="22" t="str">
        <f>IF(I33="","",IFERROR(I33/F33,""))</f>
        <v/>
      </c>
      <c r="O33" s="2" t="str">
        <f>IF(I33="","Not Started",IF(I33&gt;=F33,"Complete","In Progress"))</f>
        <v>Not Started</v>
      </c>
      <c r="P33" s="23" t="s">
        <v>37</v>
      </c>
    </row>
    <row r="34" ht="20" customHeight="1" spans="1:16" x14ac:dyDescent="0.25">
      <c r="A34" s="2">
        <v>33</v>
      </c>
      <c r="B34" s="4">
        <v>46276</v>
      </c>
      <c r="C34" s="2" t="str">
        <f>TEXT(B34,"mmm yyyy")</f>
        <v>Sep 2026</v>
      </c>
      <c r="D34" s="2" t="str">
        <f>TEXT(B34,"ddd")</f>
        <v>Fri</v>
      </c>
      <c r="E34" s="17">
        <v>4</v>
      </c>
      <c r="F34" s="18">
        <v>2.4</v>
      </c>
      <c r="G34" s="18">
        <f>IFERROR(F34/E34,0)</f>
        <v>0.6</v>
      </c>
      <c r="H34" s="19"/>
      <c r="I34" s="20"/>
      <c r="J34" s="21" t="str">
        <f>IF(OR(H34="",I34=""),"",I34/H34)</f>
        <v/>
      </c>
      <c r="K34" s="18">
        <v>2.4</v>
      </c>
      <c r="L34" s="21" t="str">
        <f>IF(I34="","",I34)</f>
        <v/>
      </c>
      <c r="M34" s="21" t="str">
        <f>IF(I34="","",I34-F34)</f>
        <v/>
      </c>
      <c r="N34" s="22" t="str">
        <f>IF(I34="","",IFERROR(I34/F34,""))</f>
        <v/>
      </c>
      <c r="O34" s="2" t="str">
        <f>IF(I34="","Not Started",IF(I34&gt;=F34,"Complete","In Progress"))</f>
        <v>Not Started</v>
      </c>
      <c r="P34" s="23" t="s">
        <v>37</v>
      </c>
    </row>
    <row r="35" ht="20" customHeight="1" spans="1:16" x14ac:dyDescent="0.25">
      <c r="A35" s="2">
        <v>34</v>
      </c>
      <c r="B35" s="4">
        <v>46279</v>
      </c>
      <c r="C35" s="2" t="str">
        <f>TEXT(B35,"mmm yyyy")</f>
        <v>Sep 2026</v>
      </c>
      <c r="D35" s="2" t="str">
        <f>TEXT(B35,"ddd")</f>
        <v>Mon</v>
      </c>
      <c r="E35" s="17">
        <v>4</v>
      </c>
      <c r="F35" s="18">
        <v>2.4</v>
      </c>
      <c r="G35" s="18">
        <f>IFERROR(F35/E35,0)</f>
        <v>0.6</v>
      </c>
      <c r="H35" s="19"/>
      <c r="I35" s="20"/>
      <c r="J35" s="21" t="str">
        <f>IF(OR(H35="",I35=""),"",I35/H35)</f>
        <v/>
      </c>
      <c r="K35" s="18">
        <v>2.4</v>
      </c>
      <c r="L35" s="21" t="str">
        <f>IF(I35="","",I35)</f>
        <v/>
      </c>
      <c r="M35" s="21" t="str">
        <f>IF(I35="","",I35-F35)</f>
        <v/>
      </c>
      <c r="N35" s="22" t="str">
        <f>IF(I35="","",IFERROR(I35/F35,""))</f>
        <v/>
      </c>
      <c r="O35" s="2" t="str">
        <f>IF(I35="","Not Started",IF(I35&gt;=F35,"Complete","In Progress"))</f>
        <v>Not Started</v>
      </c>
      <c r="P35" s="23" t="s">
        <v>37</v>
      </c>
    </row>
    <row r="36" ht="20" customHeight="1" spans="1:16" x14ac:dyDescent="0.25">
      <c r="A36" s="2">
        <v>35</v>
      </c>
      <c r="B36" s="4">
        <v>46280</v>
      </c>
      <c r="C36" s="2" t="str">
        <f>TEXT(B36,"mmm yyyy")</f>
        <v>Sep 2026</v>
      </c>
      <c r="D36" s="2" t="str">
        <f>TEXT(B36,"ddd")</f>
        <v>Tue</v>
      </c>
      <c r="E36" s="17">
        <v>4</v>
      </c>
      <c r="F36" s="18">
        <v>2.4</v>
      </c>
      <c r="G36" s="18">
        <f>IFERROR(F36/E36,0)</f>
        <v>0.6</v>
      </c>
      <c r="H36" s="19"/>
      <c r="I36" s="20"/>
      <c r="J36" s="21" t="str">
        <f>IF(OR(H36="",I36=""),"",I36/H36)</f>
        <v/>
      </c>
      <c r="K36" s="18">
        <v>2.4</v>
      </c>
      <c r="L36" s="21" t="str">
        <f>IF(I36="","",I36)</f>
        <v/>
      </c>
      <c r="M36" s="21" t="str">
        <f>IF(I36="","",I36-F36)</f>
        <v/>
      </c>
      <c r="N36" s="22" t="str">
        <f>IF(I36="","",IFERROR(I36/F36,""))</f>
        <v/>
      </c>
      <c r="O36" s="2" t="str">
        <f>IF(I36="","Not Started",IF(I36&gt;=F36,"Complete","In Progress"))</f>
        <v>Not Started</v>
      </c>
      <c r="P36" s="23" t="s">
        <v>37</v>
      </c>
    </row>
    <row r="37" ht="20" customHeight="1" spans="1:16" x14ac:dyDescent="0.25">
      <c r="A37" s="2">
        <v>36</v>
      </c>
      <c r="B37" s="4">
        <v>46281</v>
      </c>
      <c r="C37" s="2" t="str">
        <f>TEXT(B37,"mmm yyyy")</f>
        <v>Sep 2026</v>
      </c>
      <c r="D37" s="2" t="str">
        <f>TEXT(B37,"ddd")</f>
        <v>Wed</v>
      </c>
      <c r="E37" s="17">
        <v>4</v>
      </c>
      <c r="F37" s="18">
        <v>2.4</v>
      </c>
      <c r="G37" s="18">
        <f>IFERROR(F37/E37,0)</f>
        <v>0.6</v>
      </c>
      <c r="H37" s="19"/>
      <c r="I37" s="20"/>
      <c r="J37" s="21" t="str">
        <f>IF(OR(H37="",I37=""),"",I37/H37)</f>
        <v/>
      </c>
      <c r="K37" s="18">
        <v>2.4</v>
      </c>
      <c r="L37" s="21" t="str">
        <f>IF(I37="","",I37)</f>
        <v/>
      </c>
      <c r="M37" s="21" t="str">
        <f>IF(I37="","",I37-F37)</f>
        <v/>
      </c>
      <c r="N37" s="22" t="str">
        <f>IF(I37="","",IFERROR(I37/F37,""))</f>
        <v/>
      </c>
      <c r="O37" s="2" t="str">
        <f>IF(I37="","Not Started",IF(I37&gt;=F37,"Complete","In Progress"))</f>
        <v>Not Started</v>
      </c>
      <c r="P37" s="23" t="s">
        <v>37</v>
      </c>
    </row>
    <row r="38" ht="20" customHeight="1" spans="1:16" x14ac:dyDescent="0.25">
      <c r="A38" s="2">
        <v>37</v>
      </c>
      <c r="B38" s="4">
        <v>46282</v>
      </c>
      <c r="C38" s="2" t="str">
        <f>TEXT(B38,"mmm yyyy")</f>
        <v>Sep 2026</v>
      </c>
      <c r="D38" s="2" t="str">
        <f>TEXT(B38,"ddd")</f>
        <v>Thu</v>
      </c>
      <c r="E38" s="17">
        <v>4</v>
      </c>
      <c r="F38" s="18">
        <v>2.4</v>
      </c>
      <c r="G38" s="18">
        <f>IFERROR(F38/E38,0)</f>
        <v>0.6</v>
      </c>
      <c r="H38" s="19"/>
      <c r="I38" s="20"/>
      <c r="J38" s="21" t="str">
        <f>IF(OR(H38="",I38=""),"",I38/H38)</f>
        <v/>
      </c>
      <c r="K38" s="18">
        <v>2.4</v>
      </c>
      <c r="L38" s="21" t="str">
        <f>IF(I38="","",I38)</f>
        <v/>
      </c>
      <c r="M38" s="21" t="str">
        <f>IF(I38="","",I38-F38)</f>
        <v/>
      </c>
      <c r="N38" s="22" t="str">
        <f>IF(I38="","",IFERROR(I38/F38,""))</f>
        <v/>
      </c>
      <c r="O38" s="2" t="str">
        <f>IF(I38="","Not Started",IF(I38&gt;=F38,"Complete","In Progress"))</f>
        <v>Not Started</v>
      </c>
      <c r="P38" s="23" t="s">
        <v>37</v>
      </c>
    </row>
    <row r="39" ht="20" customHeight="1" spans="1:16" x14ac:dyDescent="0.25">
      <c r="A39" s="2">
        <v>38</v>
      </c>
      <c r="B39" s="4">
        <v>46283</v>
      </c>
      <c r="C39" s="2" t="str">
        <f>TEXT(B39,"mmm yyyy")</f>
        <v>Sep 2026</v>
      </c>
      <c r="D39" s="2" t="str">
        <f>TEXT(B39,"ddd")</f>
        <v>Fri</v>
      </c>
      <c r="E39" s="17">
        <v>4</v>
      </c>
      <c r="F39" s="18">
        <v>2.4</v>
      </c>
      <c r="G39" s="18">
        <f>IFERROR(F39/E39,0)</f>
        <v>0.6</v>
      </c>
      <c r="H39" s="19"/>
      <c r="I39" s="20"/>
      <c r="J39" s="21" t="str">
        <f>IF(OR(H39="",I39=""),"",I39/H39)</f>
        <v/>
      </c>
      <c r="K39" s="18">
        <v>2.4</v>
      </c>
      <c r="L39" s="21" t="str">
        <f>IF(I39="","",I39)</f>
        <v/>
      </c>
      <c r="M39" s="21" t="str">
        <f>IF(I39="","",I39-F39)</f>
        <v/>
      </c>
      <c r="N39" s="22" t="str">
        <f>IF(I39="","",IFERROR(I39/F39,""))</f>
        <v/>
      </c>
      <c r="O39" s="2" t="str">
        <f>IF(I39="","Not Started",IF(I39&gt;=F39,"Complete","In Progress"))</f>
        <v>Not Started</v>
      </c>
      <c r="P39" s="23" t="s">
        <v>37</v>
      </c>
    </row>
    <row r="40" ht="20" customHeight="1" spans="1:16" x14ac:dyDescent="0.25">
      <c r="A40" s="2">
        <v>39</v>
      </c>
      <c r="B40" s="4">
        <v>46286</v>
      </c>
      <c r="C40" s="2" t="str">
        <f>TEXT(B40,"mmm yyyy")</f>
        <v>Sep 2026</v>
      </c>
      <c r="D40" s="2" t="str">
        <f>TEXT(B40,"ddd")</f>
        <v>Mon</v>
      </c>
      <c r="E40" s="17">
        <v>4</v>
      </c>
      <c r="F40" s="18">
        <v>2.4</v>
      </c>
      <c r="G40" s="18">
        <f>IFERROR(F40/E40,0)</f>
        <v>0.6</v>
      </c>
      <c r="H40" s="19"/>
      <c r="I40" s="20"/>
      <c r="J40" s="21" t="str">
        <f>IF(OR(H40="",I40=""),"",I40/H40)</f>
        <v/>
      </c>
      <c r="K40" s="18">
        <v>2.4</v>
      </c>
      <c r="L40" s="21" t="str">
        <f>IF(I40="","",I40)</f>
        <v/>
      </c>
      <c r="M40" s="21" t="str">
        <f>IF(I40="","",I40-F40)</f>
        <v/>
      </c>
      <c r="N40" s="22" t="str">
        <f>IF(I40="","",IFERROR(I40/F40,""))</f>
        <v/>
      </c>
      <c r="O40" s="2" t="str">
        <f>IF(I40="","Not Started",IF(I40&gt;=F40,"Complete","In Progress"))</f>
        <v>Not Started</v>
      </c>
      <c r="P40" s="23" t="s">
        <v>37</v>
      </c>
    </row>
    <row r="41" ht="20" customHeight="1" spans="1:16" x14ac:dyDescent="0.25">
      <c r="A41" s="2">
        <v>40</v>
      </c>
      <c r="B41" s="4">
        <v>46287</v>
      </c>
      <c r="C41" s="2" t="str">
        <f>TEXT(B41,"mmm yyyy")</f>
        <v>Sep 2026</v>
      </c>
      <c r="D41" s="2" t="str">
        <f>TEXT(B41,"ddd")</f>
        <v>Tue</v>
      </c>
      <c r="E41" s="17">
        <v>4</v>
      </c>
      <c r="F41" s="18">
        <v>2.4</v>
      </c>
      <c r="G41" s="18">
        <f>IFERROR(F41/E41,0)</f>
        <v>0.6</v>
      </c>
      <c r="H41" s="19"/>
      <c r="I41" s="20"/>
      <c r="J41" s="21" t="str">
        <f>IF(OR(H41="",I41=""),"",I41/H41)</f>
        <v/>
      </c>
      <c r="K41" s="18">
        <v>2.4</v>
      </c>
      <c r="L41" s="21" t="str">
        <f>IF(I41="","",I41)</f>
        <v/>
      </c>
      <c r="M41" s="21" t="str">
        <f>IF(I41="","",I41-F41)</f>
        <v/>
      </c>
      <c r="N41" s="22" t="str">
        <f>IF(I41="","",IFERROR(I41/F41,""))</f>
        <v/>
      </c>
      <c r="O41" s="2" t="str">
        <f>IF(I41="","Not Started",IF(I41&gt;=F41,"Complete","In Progress"))</f>
        <v>Not Started</v>
      </c>
      <c r="P41" s="23" t="s">
        <v>37</v>
      </c>
    </row>
    <row r="42" ht="20" customHeight="1" spans="1:16" x14ac:dyDescent="0.25">
      <c r="A42" s="2">
        <v>41</v>
      </c>
      <c r="B42" s="4">
        <v>46288</v>
      </c>
      <c r="C42" s="2" t="str">
        <f>TEXT(B42,"mmm yyyy")</f>
        <v>Sep 2026</v>
      </c>
      <c r="D42" s="2" t="str">
        <f>TEXT(B42,"ddd")</f>
        <v>Wed</v>
      </c>
      <c r="E42" s="17">
        <v>4</v>
      </c>
      <c r="F42" s="18">
        <v>2.4</v>
      </c>
      <c r="G42" s="18">
        <f>IFERROR(F42/E42,0)</f>
        <v>0.6</v>
      </c>
      <c r="H42" s="19"/>
      <c r="I42" s="20"/>
      <c r="J42" s="21" t="str">
        <f>IF(OR(H42="",I42=""),"",I42/H42)</f>
        <v/>
      </c>
      <c r="K42" s="18">
        <v>2.4</v>
      </c>
      <c r="L42" s="21" t="str">
        <f>IF(I42="","",I42)</f>
        <v/>
      </c>
      <c r="M42" s="21" t="str">
        <f>IF(I42="","",I42-F42)</f>
        <v/>
      </c>
      <c r="N42" s="22" t="str">
        <f>IF(I42="","",IFERROR(I42/F42,""))</f>
        <v/>
      </c>
      <c r="O42" s="2" t="str">
        <f>IF(I42="","Not Started",IF(I42&gt;=F42,"Complete","In Progress"))</f>
        <v>Not Started</v>
      </c>
      <c r="P42" s="23" t="s">
        <v>38</v>
      </c>
    </row>
    <row r="43" ht="20" customHeight="1" spans="1:16" x14ac:dyDescent="0.25">
      <c r="A43" s="2">
        <v>42</v>
      </c>
      <c r="B43" s="4">
        <v>46289</v>
      </c>
      <c r="C43" s="2" t="str">
        <f>TEXT(B43,"mmm yyyy")</f>
        <v>Sep 2026</v>
      </c>
      <c r="D43" s="2" t="str">
        <f>TEXT(B43,"ddd")</f>
        <v>Thu</v>
      </c>
      <c r="E43" s="17">
        <v>4</v>
      </c>
      <c r="F43" s="18">
        <v>2.4</v>
      </c>
      <c r="G43" s="18">
        <f>IFERROR(F43/E43,0)</f>
        <v>0.6</v>
      </c>
      <c r="H43" s="19"/>
      <c r="I43" s="20"/>
      <c r="J43" s="21" t="str">
        <f>IF(OR(H43="",I43=""),"",I43/H43)</f>
        <v/>
      </c>
      <c r="K43" s="18">
        <v>2.4</v>
      </c>
      <c r="L43" s="21" t="str">
        <f>IF(I43="","",I43)</f>
        <v/>
      </c>
      <c r="M43" s="21" t="str">
        <f>IF(I43="","",I43-F43)</f>
        <v/>
      </c>
      <c r="N43" s="22" t="str">
        <f>IF(I43="","",IFERROR(I43/F43,""))</f>
        <v/>
      </c>
      <c r="O43" s="2" t="str">
        <f>IF(I43="","Not Started",IF(I43&gt;=F43,"Complete","In Progress"))</f>
        <v>Not Started</v>
      </c>
      <c r="P43" s="23" t="s">
        <v>38</v>
      </c>
    </row>
    <row r="44" ht="20" customHeight="1" spans="1:16" x14ac:dyDescent="0.25">
      <c r="A44" s="2">
        <v>43</v>
      </c>
      <c r="B44" s="4">
        <v>46290</v>
      </c>
      <c r="C44" s="2" t="str">
        <f>TEXT(B44,"mmm yyyy")</f>
        <v>Sep 2026</v>
      </c>
      <c r="D44" s="2" t="str">
        <f>TEXT(B44,"ddd")</f>
        <v>Fri</v>
      </c>
      <c r="E44" s="17">
        <v>4</v>
      </c>
      <c r="F44" s="18">
        <v>2.4</v>
      </c>
      <c r="G44" s="18">
        <f>IFERROR(F44/E44,0)</f>
        <v>0.6</v>
      </c>
      <c r="H44" s="19"/>
      <c r="I44" s="20"/>
      <c r="J44" s="21" t="str">
        <f>IF(OR(H44="",I44=""),"",I44/H44)</f>
        <v/>
      </c>
      <c r="K44" s="18">
        <v>2.4</v>
      </c>
      <c r="L44" s="21" t="str">
        <f>IF(I44="","",I44)</f>
        <v/>
      </c>
      <c r="M44" s="21" t="str">
        <f>IF(I44="","",I44-F44)</f>
        <v/>
      </c>
      <c r="N44" s="22" t="str">
        <f>IF(I44="","",IFERROR(I44/F44,""))</f>
        <v/>
      </c>
      <c r="O44" s="2" t="str">
        <f>IF(I44="","Not Started",IF(I44&gt;=F44,"Complete","In Progress"))</f>
        <v>Not Started</v>
      </c>
      <c r="P44" s="23" t="s">
        <v>38</v>
      </c>
    </row>
    <row r="45" ht="20" customHeight="1" spans="1:16" x14ac:dyDescent="0.25">
      <c r="A45" s="2">
        <v>44</v>
      </c>
      <c r="B45" s="4">
        <v>46293</v>
      </c>
      <c r="C45" s="2" t="str">
        <f>TEXT(B45,"mmm yyyy")</f>
        <v>Sep 2026</v>
      </c>
      <c r="D45" s="2" t="str">
        <f>TEXT(B45,"ddd")</f>
        <v>Mon</v>
      </c>
      <c r="E45" s="17">
        <v>4</v>
      </c>
      <c r="F45" s="18">
        <v>2.4</v>
      </c>
      <c r="G45" s="18">
        <f>IFERROR(F45/E45,0)</f>
        <v>0.6</v>
      </c>
      <c r="H45" s="19"/>
      <c r="I45" s="20"/>
      <c r="J45" s="21" t="str">
        <f>IF(OR(H45="",I45=""),"",I45/H45)</f>
        <v/>
      </c>
      <c r="K45" s="18">
        <v>2.4</v>
      </c>
      <c r="L45" s="21" t="str">
        <f>IF(I45="","",I45)</f>
        <v/>
      </c>
      <c r="M45" s="21" t="str">
        <f>IF(I45="","",I45-F45)</f>
        <v/>
      </c>
      <c r="N45" s="22" t="str">
        <f>IF(I45="","",IFERROR(I45/F45,""))</f>
        <v/>
      </c>
      <c r="O45" s="2" t="str">
        <f>IF(I45="","Not Started",IF(I45&gt;=F45,"Complete","In Progress"))</f>
        <v>Not Started</v>
      </c>
      <c r="P45" s="23" t="s">
        <v>38</v>
      </c>
    </row>
    <row r="46" ht="20" customHeight="1" spans="1:16" x14ac:dyDescent="0.25">
      <c r="A46" s="2">
        <v>45</v>
      </c>
      <c r="B46" s="4">
        <v>46294</v>
      </c>
      <c r="C46" s="2" t="str">
        <f>TEXT(B46,"mmm yyyy")</f>
        <v>Sep 2026</v>
      </c>
      <c r="D46" s="2" t="str">
        <f>TEXT(B46,"ddd")</f>
        <v>Tue</v>
      </c>
      <c r="E46" s="17">
        <v>4</v>
      </c>
      <c r="F46" s="18">
        <v>2.4</v>
      </c>
      <c r="G46" s="18">
        <f>IFERROR(F46/E46,0)</f>
        <v>0.6</v>
      </c>
      <c r="H46" s="19"/>
      <c r="I46" s="20"/>
      <c r="J46" s="21" t="str">
        <f>IF(OR(H46="",I46=""),"",I46/H46)</f>
        <v/>
      </c>
      <c r="K46" s="18">
        <v>2.4</v>
      </c>
      <c r="L46" s="21" t="str">
        <f>IF(I46="","",I46)</f>
        <v/>
      </c>
      <c r="M46" s="21" t="str">
        <f>IF(I46="","",I46-F46)</f>
        <v/>
      </c>
      <c r="N46" s="22" t="str">
        <f>IF(I46="","",IFERROR(I46/F46,""))</f>
        <v/>
      </c>
      <c r="O46" s="2" t="str">
        <f>IF(I46="","Not Started",IF(I46&gt;=F46,"Complete","In Progress"))</f>
        <v>Not Started</v>
      </c>
      <c r="P46" s="23" t="s">
        <v>38</v>
      </c>
    </row>
    <row r="47" ht="20" customHeight="1" spans="1:16" x14ac:dyDescent="0.25">
      <c r="A47" s="2">
        <v>46</v>
      </c>
      <c r="B47" s="4">
        <v>46295</v>
      </c>
      <c r="C47" s="2" t="str">
        <f>TEXT(B47,"mmm yyyy")</f>
        <v>Sep 2026</v>
      </c>
      <c r="D47" s="2" t="str">
        <f>TEXT(B47,"ddd")</f>
        <v>Wed</v>
      </c>
      <c r="E47" s="17">
        <v>4</v>
      </c>
      <c r="F47" s="18">
        <v>2.4</v>
      </c>
      <c r="G47" s="18">
        <f>IFERROR(F47/E47,0)</f>
        <v>0.6</v>
      </c>
      <c r="H47" s="19"/>
      <c r="I47" s="20"/>
      <c r="J47" s="21" t="str">
        <f>IF(OR(H47="",I47=""),"",I47/H47)</f>
        <v/>
      </c>
      <c r="K47" s="18">
        <v>2.4</v>
      </c>
      <c r="L47" s="21" t="str">
        <f>IF(I47="","",I47)</f>
        <v/>
      </c>
      <c r="M47" s="21" t="str">
        <f>IF(I47="","",I47-F47)</f>
        <v/>
      </c>
      <c r="N47" s="22" t="str">
        <f>IF(I47="","",IFERROR(I47/F47,""))</f>
        <v/>
      </c>
      <c r="O47" s="2" t="str">
        <f>IF(I47="","Not Started",IF(I47&gt;=F47,"Complete","In Progress"))</f>
        <v>Not Started</v>
      </c>
      <c r="P47" s="23" t="s">
        <v>38</v>
      </c>
    </row>
    <row r="48" ht="20" customHeight="1" spans="1:16" x14ac:dyDescent="0.25">
      <c r="A48" s="2">
        <v>47</v>
      </c>
      <c r="B48" s="4">
        <v>46296</v>
      </c>
      <c r="C48" s="2" t="str">
        <f>TEXT(B48,"mmm yyyy")</f>
        <v>Oct 2026</v>
      </c>
      <c r="D48" s="2" t="str">
        <f>TEXT(B48,"ddd")</f>
        <v>Thu</v>
      </c>
      <c r="E48" s="17">
        <v>4</v>
      </c>
      <c r="F48" s="18">
        <v>2.4</v>
      </c>
      <c r="G48" s="18">
        <f>IFERROR(F48/E48,0)</f>
        <v>0.6</v>
      </c>
      <c r="H48" s="19"/>
      <c r="I48" s="20"/>
      <c r="J48" s="21" t="str">
        <f>IF(OR(H48="",I48=""),"",I48/H48)</f>
        <v/>
      </c>
      <c r="K48" s="18">
        <v>2.4</v>
      </c>
      <c r="L48" s="21" t="str">
        <f>IF(I48="","",I48)</f>
        <v/>
      </c>
      <c r="M48" s="21" t="str">
        <f>IF(I48="","",I48-F48)</f>
        <v/>
      </c>
      <c r="N48" s="22" t="str">
        <f>IF(I48="","",IFERROR(I48/F48,""))</f>
        <v/>
      </c>
      <c r="O48" s="2" t="str">
        <f>IF(I48="","Not Started",IF(I48&gt;=F48,"Complete","In Progress"))</f>
        <v>Not Started</v>
      </c>
      <c r="P48" s="23" t="s">
        <v>38</v>
      </c>
    </row>
    <row r="49" ht="20" customHeight="1" spans="1:16" x14ac:dyDescent="0.25">
      <c r="A49" s="2">
        <v>48</v>
      </c>
      <c r="B49" s="4">
        <v>46297</v>
      </c>
      <c r="C49" s="2" t="str">
        <f>TEXT(B49,"mmm yyyy")</f>
        <v>Oct 2026</v>
      </c>
      <c r="D49" s="2" t="str">
        <f>TEXT(B49,"ddd")</f>
        <v>Fri</v>
      </c>
      <c r="E49" s="17">
        <v>4</v>
      </c>
      <c r="F49" s="18">
        <v>2.4</v>
      </c>
      <c r="G49" s="18">
        <f>IFERROR(F49/E49,0)</f>
        <v>0.6</v>
      </c>
      <c r="H49" s="19"/>
      <c r="I49" s="20"/>
      <c r="J49" s="21" t="str">
        <f>IF(OR(H49="",I49=""),"",I49/H49)</f>
        <v/>
      </c>
      <c r="K49" s="18">
        <v>2.4</v>
      </c>
      <c r="L49" s="21" t="str">
        <f>IF(I49="","",I49)</f>
        <v/>
      </c>
      <c r="M49" s="21" t="str">
        <f>IF(I49="","",I49-F49)</f>
        <v/>
      </c>
      <c r="N49" s="22" t="str">
        <f>IF(I49="","",IFERROR(I49/F49,""))</f>
        <v/>
      </c>
      <c r="O49" s="2" t="str">
        <f>IF(I49="","Not Started",IF(I49&gt;=F49,"Complete","In Progress"))</f>
        <v>Not Started</v>
      </c>
      <c r="P49" s="23" t="s">
        <v>38</v>
      </c>
    </row>
    <row r="50" ht="20" customHeight="1" spans="1:16" x14ac:dyDescent="0.25">
      <c r="A50" s="2">
        <v>49</v>
      </c>
      <c r="B50" s="4">
        <v>46300</v>
      </c>
      <c r="C50" s="2" t="str">
        <f>TEXT(B50,"mmm yyyy")</f>
        <v>Oct 2026</v>
      </c>
      <c r="D50" s="2" t="str">
        <f>TEXT(B50,"ddd")</f>
        <v>Mon</v>
      </c>
      <c r="E50" s="17">
        <v>4</v>
      </c>
      <c r="F50" s="18">
        <v>2.4</v>
      </c>
      <c r="G50" s="18">
        <f>IFERROR(F50/E50,0)</f>
        <v>0.6</v>
      </c>
      <c r="H50" s="19"/>
      <c r="I50" s="20"/>
      <c r="J50" s="21" t="str">
        <f>IF(OR(H50="",I50=""),"",I50/H50)</f>
        <v/>
      </c>
      <c r="K50" s="18">
        <v>2.4</v>
      </c>
      <c r="L50" s="21" t="str">
        <f>IF(I50="","",I50)</f>
        <v/>
      </c>
      <c r="M50" s="21" t="str">
        <f>IF(I50="","",I50-F50)</f>
        <v/>
      </c>
      <c r="N50" s="22" t="str">
        <f>IF(I50="","",IFERROR(I50/F50,""))</f>
        <v/>
      </c>
      <c r="O50" s="2" t="str">
        <f>IF(I50="","Not Started",IF(I50&gt;=F50,"Complete","In Progress"))</f>
        <v>Not Started</v>
      </c>
      <c r="P50" s="23" t="s">
        <v>38</v>
      </c>
    </row>
    <row r="51" ht="20" customHeight="1" spans="1:16" x14ac:dyDescent="0.25">
      <c r="A51" s="2">
        <v>50</v>
      </c>
      <c r="B51" s="4">
        <v>46301</v>
      </c>
      <c r="C51" s="2" t="str">
        <f>TEXT(B51,"mmm yyyy")</f>
        <v>Oct 2026</v>
      </c>
      <c r="D51" s="2" t="str">
        <f>TEXT(B51,"ddd")</f>
        <v>Tue</v>
      </c>
      <c r="E51" s="17">
        <v>4</v>
      </c>
      <c r="F51" s="18">
        <v>2.4</v>
      </c>
      <c r="G51" s="18">
        <f>IFERROR(F51/E51,0)</f>
        <v>0.6</v>
      </c>
      <c r="H51" s="19"/>
      <c r="I51" s="20"/>
      <c r="J51" s="21" t="str">
        <f>IF(OR(H51="",I51=""),"",I51/H51)</f>
        <v/>
      </c>
      <c r="K51" s="18">
        <v>2.4</v>
      </c>
      <c r="L51" s="21" t="str">
        <f>IF(I51="","",I51)</f>
        <v/>
      </c>
      <c r="M51" s="21" t="str">
        <f>IF(I51="","",I51-F51)</f>
        <v/>
      </c>
      <c r="N51" s="22" t="str">
        <f>IF(I51="","",IFERROR(I51/F51,""))</f>
        <v/>
      </c>
      <c r="O51" s="2" t="str">
        <f>IF(I51="","Not Started",IF(I51&gt;=F51,"Complete","In Progress"))</f>
        <v>Not Started</v>
      </c>
      <c r="P51" s="23" t="s">
        <v>38</v>
      </c>
    </row>
  </sheetData>
  <autoFilter ref="A1:P1"/>
  <conditionalFormatting sqref="O2:O51">
    <cfRule type="containsText" dxfId="0" priority="1">
      <formula>NOT(ISERROR(SEARCH("Complete",O2)))</formula>
    </cfRule>
    <cfRule type="containsText" dxfId="1" priority="2">
      <formula>NOT(ISERROR(SEARCH("In Progress",O2)))</formula>
    </cfRule>
  </conditionalFormatting>
  <dataValidations count="4">
    <dataValidation type="whole" allowBlank="1" showErrorMessage="1" errorTitle="Invalid team size" error="Enter a value from 0 to 4." sqref="H10:H51">
      <formula1>0</formula1>
      <formula2>4</formula2>
    </dataValidation>
    <dataValidation type="whole" allowBlank="1" showErrorMessage="1" errorTitle="Invalid team size" error="Enter a value from 0 to 4." sqref="H2:H51">
      <formula1>0</formula1>
      <formula2>4</formula2>
    </dataValidation>
    <dataValidation type="decimal" operator="greaterThanOrEqual" allowBlank="1" showErrorMessage="1" errorTitle="Invalid value" error="Actual Total Hours cannot be negative." sqref="I10:I51">
      <formula1>0</formula1>
    </dataValidation>
    <dataValidation type="decimal" operator="greaterThanOrEqual" allowBlank="1" showErrorMessage="1" errorTitle="Invalid value" error="Actual Total Hours cannot be negative." sqref="I2:I51">
      <formula1>0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style="24" customWidth="1"/>
    <col min="4" max="4" width="15" style="24" customWidth="1"/>
    <col min="5" max="5" width="44" style="24" customWidth="1"/>
    <col min="6" max="6" width="36" style="24" customWidth="1"/>
  </cols>
  <sheetData>
    <row r="1" ht="24" customHeight="1" spans="1:6" x14ac:dyDescent="0.25">
      <c r="A1" s="25" t="s">
        <v>39</v>
      </c>
      <c r="B1" s="25" t="s">
        <v>7</v>
      </c>
      <c r="C1" s="25" t="s">
        <v>40</v>
      </c>
      <c r="D1" s="25" t="s">
        <v>41</v>
      </c>
      <c r="E1" s="25" t="s">
        <v>42</v>
      </c>
      <c r="F1" s="25" t="s">
        <v>43</v>
      </c>
    </row>
    <row r="2" spans="1:6" x14ac:dyDescent="0.25">
      <c r="A2" s="3">
        <v>1</v>
      </c>
      <c r="B2" s="3" t="s">
        <v>44</v>
      </c>
      <c r="C2" s="3" t="s">
        <v>45</v>
      </c>
      <c r="D2" s="3">
        <v>12</v>
      </c>
      <c r="E2" s="3" t="s">
        <v>34</v>
      </c>
      <c r="F2" s="3" t="s">
        <v>46</v>
      </c>
    </row>
    <row r="3" spans="1:6" x14ac:dyDescent="0.25">
      <c r="A3" s="3">
        <v>2</v>
      </c>
      <c r="B3" s="3" t="s">
        <v>47</v>
      </c>
      <c r="C3" s="3" t="s">
        <v>48</v>
      </c>
      <c r="D3" s="3">
        <v>12</v>
      </c>
      <c r="E3" s="3" t="s">
        <v>34</v>
      </c>
      <c r="F3" s="3" t="s">
        <v>49</v>
      </c>
    </row>
    <row r="4" spans="1:6" x14ac:dyDescent="0.25">
      <c r="A4" s="3">
        <v>3</v>
      </c>
      <c r="B4" s="3" t="s">
        <v>50</v>
      </c>
      <c r="C4" s="3" t="s">
        <v>51</v>
      </c>
      <c r="D4" s="3">
        <v>12</v>
      </c>
      <c r="E4" s="3" t="s">
        <v>35</v>
      </c>
      <c r="F4" s="3" t="s">
        <v>46</v>
      </c>
    </row>
    <row r="5" spans="1:6" x14ac:dyDescent="0.25">
      <c r="A5" s="3">
        <v>4</v>
      </c>
      <c r="B5" s="3" t="s">
        <v>52</v>
      </c>
      <c r="C5" s="3" t="s">
        <v>53</v>
      </c>
      <c r="D5" s="3">
        <v>12</v>
      </c>
      <c r="E5" s="3" t="s">
        <v>35</v>
      </c>
      <c r="F5" s="3" t="s">
        <v>49</v>
      </c>
    </row>
    <row r="6" spans="1:6" x14ac:dyDescent="0.25">
      <c r="A6" s="3">
        <v>5</v>
      </c>
      <c r="B6" s="3" t="s">
        <v>54</v>
      </c>
      <c r="C6" s="3" t="s">
        <v>55</v>
      </c>
      <c r="D6" s="3">
        <v>12</v>
      </c>
      <c r="E6" s="3" t="s">
        <v>36</v>
      </c>
      <c r="F6" s="3" t="s">
        <v>46</v>
      </c>
    </row>
    <row r="7" spans="1:6" x14ac:dyDescent="0.25">
      <c r="A7" s="3">
        <v>6</v>
      </c>
      <c r="B7" s="3" t="s">
        <v>56</v>
      </c>
      <c r="C7" s="3" t="s">
        <v>57</v>
      </c>
      <c r="D7" s="3">
        <v>12</v>
      </c>
      <c r="E7" s="3" t="s">
        <v>36</v>
      </c>
      <c r="F7" s="3" t="s">
        <v>49</v>
      </c>
    </row>
    <row r="8" spans="1:6" x14ac:dyDescent="0.25">
      <c r="A8" s="3">
        <v>7</v>
      </c>
      <c r="B8" s="3" t="s">
        <v>58</v>
      </c>
      <c r="C8" s="3" t="s">
        <v>59</v>
      </c>
      <c r="D8" s="3">
        <v>12</v>
      </c>
      <c r="E8" s="3" t="s">
        <v>37</v>
      </c>
      <c r="F8" s="3" t="s">
        <v>46</v>
      </c>
    </row>
    <row r="9" spans="1:6" x14ac:dyDescent="0.25">
      <c r="A9" s="3">
        <v>8</v>
      </c>
      <c r="B9" s="3" t="s">
        <v>60</v>
      </c>
      <c r="C9" s="3" t="s">
        <v>61</v>
      </c>
      <c r="D9" s="3">
        <v>12</v>
      </c>
      <c r="E9" s="3" t="s">
        <v>37</v>
      </c>
      <c r="F9" s="3" t="s">
        <v>49</v>
      </c>
    </row>
    <row r="10" spans="1:6" x14ac:dyDescent="0.25">
      <c r="A10" s="3">
        <v>9</v>
      </c>
      <c r="B10" s="3" t="s">
        <v>62</v>
      </c>
      <c r="C10" s="3" t="s">
        <v>63</v>
      </c>
      <c r="D10" s="3">
        <v>12</v>
      </c>
      <c r="E10" s="3" t="s">
        <v>38</v>
      </c>
      <c r="F10" s="3" t="s">
        <v>46</v>
      </c>
    </row>
    <row r="11" spans="1:6" x14ac:dyDescent="0.25">
      <c r="A11" s="3">
        <v>10</v>
      </c>
      <c r="B11" s="3" t="s">
        <v>64</v>
      </c>
      <c r="C11" s="3" t="s">
        <v>65</v>
      </c>
      <c r="D11" s="3">
        <v>12</v>
      </c>
      <c r="E11" s="3" t="s">
        <v>38</v>
      </c>
      <c r="F11" s="3" t="s">
        <v>49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24" customWidth="1"/>
    <col min="3" max="3" width="15" style="24" customWidth="1"/>
    <col min="4" max="4" width="17" style="24" customWidth="1"/>
    <col min="5" max="5" width="20" style="24" customWidth="1"/>
  </cols>
  <sheetData>
    <row r="1" ht="24" customHeight="1" spans="1:5" x14ac:dyDescent="0.25">
      <c r="A1" s="25" t="s">
        <v>66</v>
      </c>
      <c r="B1" s="25" t="s">
        <v>67</v>
      </c>
      <c r="C1" s="25" t="s">
        <v>41</v>
      </c>
      <c r="D1" s="25" t="s">
        <v>68</v>
      </c>
      <c r="E1" s="25" t="s">
        <v>33</v>
      </c>
    </row>
    <row r="2" spans="1:5" x14ac:dyDescent="0.25">
      <c r="A2" s="3" t="s">
        <v>69</v>
      </c>
      <c r="B2" s="3" t="s">
        <v>70</v>
      </c>
      <c r="C2" s="3">
        <v>30</v>
      </c>
      <c r="D2" s="3" t="s">
        <v>71</v>
      </c>
      <c r="E2" s="3" t="s">
        <v>72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style="24" customWidth="1"/>
    <col min="2" max="3" width="14" style="24" customWidth="1"/>
    <col min="4" max="4" width="32" style="24" customWidth="1"/>
    <col min="5" max="5" width="45" style="24" customWidth="1"/>
  </cols>
  <sheetData>
    <row r="1" ht="24" customHeight="1" spans="1:5" x14ac:dyDescent="0.25">
      <c r="A1" s="25" t="s">
        <v>73</v>
      </c>
      <c r="B1" s="25" t="s">
        <v>74</v>
      </c>
      <c r="C1" s="25" t="s">
        <v>75</v>
      </c>
      <c r="D1" s="25" t="s">
        <v>76</v>
      </c>
      <c r="E1" s="25" t="s">
        <v>77</v>
      </c>
    </row>
    <row r="2" spans="1:5" x14ac:dyDescent="0.25">
      <c r="A2" s="3" t="s">
        <v>78</v>
      </c>
      <c r="B2" s="3" t="s">
        <v>48</v>
      </c>
      <c r="C2" s="3" t="s">
        <v>79</v>
      </c>
      <c r="D2" s="3" t="s">
        <v>80</v>
      </c>
      <c r="E2" s="3" t="s">
        <v>81</v>
      </c>
    </row>
    <row r="3" spans="1:5" x14ac:dyDescent="0.25">
      <c r="A3" s="3" t="s">
        <v>82</v>
      </c>
      <c r="B3" s="3" t="s">
        <v>53</v>
      </c>
      <c r="C3" s="3" t="s">
        <v>83</v>
      </c>
      <c r="D3" s="3" t="s">
        <v>78</v>
      </c>
      <c r="E3" s="3" t="s">
        <v>84</v>
      </c>
    </row>
    <row r="4" spans="1:5" x14ac:dyDescent="0.25">
      <c r="A4" s="3" t="s">
        <v>85</v>
      </c>
      <c r="B4" s="3" t="s">
        <v>57</v>
      </c>
      <c r="C4" s="3" t="s">
        <v>86</v>
      </c>
      <c r="D4" s="3" t="s">
        <v>82</v>
      </c>
      <c r="E4" s="3" t="s">
        <v>87</v>
      </c>
    </row>
    <row r="5" spans="1:5" x14ac:dyDescent="0.25">
      <c r="A5" s="3" t="s">
        <v>88</v>
      </c>
      <c r="B5" s="3" t="s">
        <v>61</v>
      </c>
      <c r="C5" s="3" t="s">
        <v>89</v>
      </c>
      <c r="D5" s="3" t="s">
        <v>85</v>
      </c>
      <c r="E5" s="3" t="s">
        <v>90</v>
      </c>
    </row>
    <row r="6" spans="1:5" x14ac:dyDescent="0.25">
      <c r="A6" s="3" t="s">
        <v>91</v>
      </c>
      <c r="B6" s="3" t="s">
        <v>65</v>
      </c>
      <c r="C6" s="3" t="s">
        <v>92</v>
      </c>
      <c r="D6" s="3" t="s">
        <v>88</v>
      </c>
      <c r="E6" s="3" t="s">
        <v>93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style="24" customWidth="1"/>
    <col min="2" max="2" width="14" style="24" customWidth="1"/>
    <col min="3" max="3" width="45" style="24" customWidth="1"/>
    <col min="4" max="4" width="14" style="24" customWidth="1"/>
    <col min="5" max="5" width="45" style="24" customWidth="1"/>
  </cols>
  <sheetData>
    <row r="1" ht="24" customHeight="1" spans="1:5" x14ac:dyDescent="0.25">
      <c r="A1" s="25" t="s">
        <v>94</v>
      </c>
      <c r="B1" s="25" t="s">
        <v>19</v>
      </c>
      <c r="C1" s="25" t="s">
        <v>95</v>
      </c>
      <c r="D1" s="25" t="s">
        <v>75</v>
      </c>
      <c r="E1" s="25" t="s">
        <v>96</v>
      </c>
    </row>
    <row r="2" spans="1:5" x14ac:dyDescent="0.25">
      <c r="A2" s="3" t="s">
        <v>97</v>
      </c>
      <c r="B2" s="3" t="s">
        <v>45</v>
      </c>
      <c r="C2" s="3" t="s">
        <v>98</v>
      </c>
      <c r="D2" s="3" t="s">
        <v>92</v>
      </c>
      <c r="E2" s="3" t="s">
        <v>99</v>
      </c>
    </row>
    <row r="3" spans="1:5" x14ac:dyDescent="0.25">
      <c r="A3" s="3" t="s">
        <v>100</v>
      </c>
      <c r="B3" s="3" t="s">
        <v>48</v>
      </c>
      <c r="C3" s="3" t="s">
        <v>98</v>
      </c>
      <c r="D3" s="3" t="s">
        <v>92</v>
      </c>
      <c r="E3" s="3" t="s">
        <v>99</v>
      </c>
    </row>
    <row r="4" spans="1:5" x14ac:dyDescent="0.25">
      <c r="A4" s="3" t="s">
        <v>101</v>
      </c>
      <c r="B4" s="3" t="s">
        <v>51</v>
      </c>
      <c r="C4" s="3" t="s">
        <v>98</v>
      </c>
      <c r="D4" s="3" t="s">
        <v>92</v>
      </c>
      <c r="E4" s="3" t="s">
        <v>99</v>
      </c>
    </row>
    <row r="5" spans="1:5" x14ac:dyDescent="0.25">
      <c r="A5" s="3" t="s">
        <v>102</v>
      </c>
      <c r="B5" s="3" t="s">
        <v>53</v>
      </c>
      <c r="C5" s="3" t="s">
        <v>98</v>
      </c>
      <c r="D5" s="3" t="s">
        <v>92</v>
      </c>
      <c r="E5" s="3" t="s">
        <v>99</v>
      </c>
    </row>
    <row r="6" spans="1:5" x14ac:dyDescent="0.25">
      <c r="A6" s="3" t="s">
        <v>103</v>
      </c>
      <c r="B6" s="3" t="s">
        <v>55</v>
      </c>
      <c r="C6" s="3" t="s">
        <v>98</v>
      </c>
      <c r="D6" s="3" t="s">
        <v>92</v>
      </c>
      <c r="E6" s="3" t="s">
        <v>99</v>
      </c>
    </row>
    <row r="7" spans="1:5" x14ac:dyDescent="0.25">
      <c r="A7" s="3" t="s">
        <v>104</v>
      </c>
      <c r="B7" s="3" t="s">
        <v>57</v>
      </c>
      <c r="C7" s="3" t="s">
        <v>98</v>
      </c>
      <c r="D7" s="3" t="s">
        <v>92</v>
      </c>
      <c r="E7" s="3" t="s">
        <v>99</v>
      </c>
    </row>
    <row r="8" spans="1:5" x14ac:dyDescent="0.25">
      <c r="A8" s="3" t="s">
        <v>105</v>
      </c>
      <c r="B8" s="3" t="s">
        <v>59</v>
      </c>
      <c r="C8" s="3" t="s">
        <v>98</v>
      </c>
      <c r="D8" s="3" t="s">
        <v>92</v>
      </c>
      <c r="E8" s="3" t="s">
        <v>99</v>
      </c>
    </row>
    <row r="9" spans="1:5" x14ac:dyDescent="0.25">
      <c r="A9" s="3" t="s">
        <v>106</v>
      </c>
      <c r="B9" s="3" t="s">
        <v>61</v>
      </c>
      <c r="C9" s="3" t="s">
        <v>98</v>
      </c>
      <c r="D9" s="3" t="s">
        <v>92</v>
      </c>
      <c r="E9" s="3" t="s">
        <v>99</v>
      </c>
    </row>
    <row r="10" spans="1:5" x14ac:dyDescent="0.25">
      <c r="A10" s="3" t="s">
        <v>107</v>
      </c>
      <c r="B10" s="3" t="s">
        <v>63</v>
      </c>
      <c r="C10" s="3" t="s">
        <v>98</v>
      </c>
      <c r="D10" s="3" t="s">
        <v>92</v>
      </c>
      <c r="E10" s="3" t="s">
        <v>99</v>
      </c>
    </row>
    <row r="11" spans="1:5" x14ac:dyDescent="0.25">
      <c r="A11" s="3" t="s">
        <v>108</v>
      </c>
      <c r="B11" s="3" t="s">
        <v>65</v>
      </c>
      <c r="C11" s="3" t="s">
        <v>98</v>
      </c>
      <c r="D11" s="3" t="s">
        <v>92</v>
      </c>
      <c r="E11" s="3" t="s">
        <v>99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9" style="24" customWidth="1"/>
    <col min="3" max="4" width="45" style="24" customWidth="1"/>
  </cols>
  <sheetData>
    <row r="1" ht="24" customHeight="1" spans="1:4" x14ac:dyDescent="0.25">
      <c r="A1" s="25" t="s">
        <v>109</v>
      </c>
      <c r="B1" s="25" t="s">
        <v>110</v>
      </c>
      <c r="C1" s="25" t="s">
        <v>111</v>
      </c>
      <c r="D1" s="25" t="s">
        <v>112</v>
      </c>
    </row>
    <row r="2" spans="1:4" x14ac:dyDescent="0.25">
      <c r="A2" s="3" t="s">
        <v>113</v>
      </c>
      <c r="B2" s="3" t="s">
        <v>114</v>
      </c>
      <c r="C2" s="3" t="s">
        <v>115</v>
      </c>
      <c r="D2" s="3" t="s">
        <v>116</v>
      </c>
    </row>
    <row r="3" spans="1:4" x14ac:dyDescent="0.25">
      <c r="A3" s="3" t="s">
        <v>113</v>
      </c>
      <c r="B3" s="3" t="s">
        <v>117</v>
      </c>
      <c r="C3" s="3" t="s">
        <v>118</v>
      </c>
      <c r="D3" s="3" t="s">
        <v>119</v>
      </c>
    </row>
    <row r="4" spans="1:4" x14ac:dyDescent="0.25">
      <c r="A4" s="3" t="s">
        <v>120</v>
      </c>
      <c r="B4" s="3" t="s">
        <v>121</v>
      </c>
      <c r="C4" s="3" t="s">
        <v>122</v>
      </c>
      <c r="D4" s="3" t="s">
        <v>123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5" style="24" customWidth="1"/>
    <col min="3" max="7" width="14" style="24" customWidth="1"/>
  </cols>
  <sheetData>
    <row r="1" ht="24" customHeight="1" spans="1:7" x14ac:dyDescent="0.25">
      <c r="A1" s="25" t="s">
        <v>124</v>
      </c>
      <c r="B1" s="25" t="s">
        <v>41</v>
      </c>
      <c r="C1" s="25" t="s">
        <v>29</v>
      </c>
      <c r="D1" s="25" t="s">
        <v>125</v>
      </c>
      <c r="E1" s="25" t="s">
        <v>126</v>
      </c>
      <c r="F1" s="25" t="s">
        <v>32</v>
      </c>
      <c r="G1" s="25" t="s">
        <v>33</v>
      </c>
    </row>
    <row r="2" spans="1:7" x14ac:dyDescent="0.25">
      <c r="A2" s="3" t="s">
        <v>127</v>
      </c>
      <c r="B2" s="3">
        <v>12</v>
      </c>
      <c r="C2" s="3" t="s">
        <v>128</v>
      </c>
      <c r="D2" s="3" t="s">
        <v>128</v>
      </c>
      <c r="E2" s="3" t="s">
        <v>128</v>
      </c>
      <c r="F2" s="3" t="s">
        <v>129</v>
      </c>
      <c r="G2" s="3" t="s">
        <v>128</v>
      </c>
    </row>
    <row r="3" spans="1:7" x14ac:dyDescent="0.25">
      <c r="A3" s="3" t="s">
        <v>130</v>
      </c>
      <c r="B3" s="3">
        <v>12</v>
      </c>
      <c r="C3" s="3" t="s">
        <v>128</v>
      </c>
      <c r="D3" s="3" t="s">
        <v>128</v>
      </c>
      <c r="E3" s="3" t="s">
        <v>128</v>
      </c>
      <c r="F3" s="3" t="s">
        <v>129</v>
      </c>
      <c r="G3" s="3" t="s">
        <v>128</v>
      </c>
    </row>
    <row r="4" spans="1:7" x14ac:dyDescent="0.25">
      <c r="A4" s="3" t="s">
        <v>131</v>
      </c>
      <c r="B4" s="3">
        <v>12</v>
      </c>
      <c r="C4" s="3" t="s">
        <v>128</v>
      </c>
      <c r="D4" s="3" t="s">
        <v>128</v>
      </c>
      <c r="E4" s="3" t="s">
        <v>128</v>
      </c>
      <c r="F4" s="3" t="s">
        <v>129</v>
      </c>
      <c r="G4" s="3" t="s">
        <v>128</v>
      </c>
    </row>
    <row r="5" spans="1:7" x14ac:dyDescent="0.25">
      <c r="A5" s="3" t="s">
        <v>132</v>
      </c>
      <c r="B5" s="3">
        <v>12</v>
      </c>
      <c r="C5" s="3" t="s">
        <v>128</v>
      </c>
      <c r="D5" s="3" t="s">
        <v>128</v>
      </c>
      <c r="E5" s="3" t="s">
        <v>128</v>
      </c>
      <c r="F5" s="3" t="s">
        <v>129</v>
      </c>
      <c r="G5" s="3" t="s">
        <v>128</v>
      </c>
    </row>
    <row r="6" spans="1:7" x14ac:dyDescent="0.25">
      <c r="A6" s="3" t="s">
        <v>133</v>
      </c>
      <c r="B6" s="3">
        <v>12</v>
      </c>
      <c r="C6" s="3" t="s">
        <v>128</v>
      </c>
      <c r="D6" s="3" t="s">
        <v>128</v>
      </c>
      <c r="E6" s="3" t="s">
        <v>128</v>
      </c>
      <c r="F6" s="3" t="s">
        <v>129</v>
      </c>
      <c r="G6" s="3" t="s">
        <v>128</v>
      </c>
    </row>
    <row r="7" spans="1:7" x14ac:dyDescent="0.25">
      <c r="A7" s="3" t="s">
        <v>134</v>
      </c>
      <c r="B7" s="3">
        <v>12</v>
      </c>
      <c r="C7" s="3" t="s">
        <v>128</v>
      </c>
      <c r="D7" s="3" t="s">
        <v>128</v>
      </c>
      <c r="E7" s="3" t="s">
        <v>128</v>
      </c>
      <c r="F7" s="3" t="s">
        <v>129</v>
      </c>
      <c r="G7" s="3" t="s">
        <v>128</v>
      </c>
    </row>
    <row r="8" spans="1:7" x14ac:dyDescent="0.25">
      <c r="A8" s="3" t="s">
        <v>135</v>
      </c>
      <c r="B8" s="3">
        <v>12</v>
      </c>
      <c r="C8" s="3" t="s">
        <v>128</v>
      </c>
      <c r="D8" s="3" t="s">
        <v>128</v>
      </c>
      <c r="E8" s="3" t="s">
        <v>128</v>
      </c>
      <c r="F8" s="3" t="s">
        <v>129</v>
      </c>
      <c r="G8" s="3" t="s">
        <v>128</v>
      </c>
    </row>
    <row r="9" spans="1:7" x14ac:dyDescent="0.25">
      <c r="A9" s="3" t="s">
        <v>136</v>
      </c>
      <c r="B9" s="3">
        <v>12</v>
      </c>
      <c r="C9" s="3" t="s">
        <v>128</v>
      </c>
      <c r="D9" s="3" t="s">
        <v>128</v>
      </c>
      <c r="E9" s="3" t="s">
        <v>128</v>
      </c>
      <c r="F9" s="3" t="s">
        <v>129</v>
      </c>
      <c r="G9" s="3" t="s">
        <v>128</v>
      </c>
    </row>
    <row r="10" spans="1:7" x14ac:dyDescent="0.25">
      <c r="A10" s="3" t="s">
        <v>137</v>
      </c>
      <c r="B10" s="3">
        <v>12</v>
      </c>
      <c r="C10" s="3" t="s">
        <v>128</v>
      </c>
      <c r="D10" s="3" t="s">
        <v>128</v>
      </c>
      <c r="E10" s="3" t="s">
        <v>128</v>
      </c>
      <c r="F10" s="3" t="s">
        <v>129</v>
      </c>
      <c r="G10" s="3" t="s">
        <v>128</v>
      </c>
    </row>
    <row r="11" spans="1:7" x14ac:dyDescent="0.25">
      <c r="A11" s="3" t="s">
        <v>138</v>
      </c>
      <c r="B11" s="3">
        <v>12</v>
      </c>
      <c r="C11" s="3" t="s">
        <v>128</v>
      </c>
      <c r="D11" s="3" t="s">
        <v>128</v>
      </c>
      <c r="E11" s="3" t="s">
        <v>128</v>
      </c>
      <c r="F11" s="3" t="s">
        <v>129</v>
      </c>
      <c r="G11" s="3" t="s">
        <v>128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style="24" customWidth="1"/>
    <col min="2" max="2" width="15" style="24" customWidth="1"/>
  </cols>
  <sheetData>
    <row r="1" ht="24" customHeight="1" spans="1:2" x14ac:dyDescent="0.25">
      <c r="A1" s="25" t="s">
        <v>139</v>
      </c>
      <c r="B1" s="25" t="s">
        <v>140</v>
      </c>
    </row>
    <row r="2" spans="1:2" x14ac:dyDescent="0.25">
      <c r="A2" s="3" t="s">
        <v>141</v>
      </c>
      <c r="B2" s="3" t="s">
        <v>142</v>
      </c>
    </row>
    <row r="3" spans="1:2" x14ac:dyDescent="0.25">
      <c r="A3" s="3" t="s">
        <v>143</v>
      </c>
      <c r="B3" s="3" t="s">
        <v>144</v>
      </c>
    </row>
    <row r="4" spans="1:2" x14ac:dyDescent="0.25">
      <c r="A4" s="3" t="s">
        <v>145</v>
      </c>
      <c r="B4" s="3" t="s">
        <v>44</v>
      </c>
    </row>
    <row r="5" spans="1:2" x14ac:dyDescent="0.25">
      <c r="A5" s="3" t="s">
        <v>146</v>
      </c>
      <c r="B5" s="3" t="s">
        <v>65</v>
      </c>
    </row>
    <row r="6" spans="1:2" x14ac:dyDescent="0.25">
      <c r="A6" s="3" t="s">
        <v>147</v>
      </c>
      <c r="B6" s="3">
        <v>120</v>
      </c>
    </row>
    <row r="7" spans="1:2" x14ac:dyDescent="0.25">
      <c r="A7" s="3" t="s">
        <v>148</v>
      </c>
      <c r="B7" s="3">
        <v>4</v>
      </c>
    </row>
    <row r="8" spans="1:2" x14ac:dyDescent="0.25">
      <c r="A8" s="3" t="s">
        <v>149</v>
      </c>
      <c r="B8" s="3" t="s">
        <v>10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24" customWidth="1"/>
    <col min="2" max="2" width="15" style="24" customWidth="1"/>
  </cols>
  <sheetData>
    <row r="1" ht="24" customHeight="1" spans="1:2" x14ac:dyDescent="0.25">
      <c r="A1" s="25" t="s">
        <v>150</v>
      </c>
      <c r="B1" s="25" t="s">
        <v>140</v>
      </c>
    </row>
    <row r="2" spans="1:2" x14ac:dyDescent="0.25">
      <c r="A2" s="3" t="s">
        <v>151</v>
      </c>
      <c r="B2" s="3" t="s">
        <v>142</v>
      </c>
    </row>
    <row r="3" spans="1:2" x14ac:dyDescent="0.25">
      <c r="A3" s="3" t="s">
        <v>143</v>
      </c>
      <c r="B3" s="3" t="s">
        <v>144</v>
      </c>
    </row>
    <row r="4" spans="1:2" x14ac:dyDescent="0.25">
      <c r="A4" s="3" t="s">
        <v>152</v>
      </c>
      <c r="B4" s="3" t="s">
        <v>4</v>
      </c>
    </row>
    <row r="5" spans="1:2" x14ac:dyDescent="0.25">
      <c r="A5" s="3" t="s">
        <v>153</v>
      </c>
      <c r="B5" s="3" t="s">
        <v>154</v>
      </c>
    </row>
    <row r="6" spans="1:2" x14ac:dyDescent="0.25">
      <c r="A6" s="3" t="s">
        <v>155</v>
      </c>
      <c r="B6" s="3" t="s">
        <v>156</v>
      </c>
    </row>
    <row r="7" spans="1:2" x14ac:dyDescent="0.25">
      <c r="A7" s="3" t="s">
        <v>157</v>
      </c>
      <c r="B7" s="3" t="s">
        <v>128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style="24" customWidth="1"/>
    <col min="2" max="2" width="45" style="24" customWidth="1"/>
    <col min="3" max="4" width="14" style="24" customWidth="1"/>
  </cols>
  <sheetData>
    <row r="1" ht="24" customHeight="1" spans="1:4" x14ac:dyDescent="0.25">
      <c r="A1" s="25" t="s">
        <v>139</v>
      </c>
      <c r="B1" s="25" t="s">
        <v>158</v>
      </c>
      <c r="C1" s="25" t="s">
        <v>140</v>
      </c>
      <c r="D1" s="25" t="s">
        <v>159</v>
      </c>
    </row>
    <row r="2" spans="1:4" x14ac:dyDescent="0.25">
      <c r="A2" s="3" t="s">
        <v>160</v>
      </c>
      <c r="B2" s="3" t="s">
        <v>161</v>
      </c>
      <c r="C2" s="3">
        <v>1600</v>
      </c>
      <c r="D2" s="3" t="s">
        <v>144</v>
      </c>
    </row>
    <row r="3" spans="1:4" x14ac:dyDescent="0.25">
      <c r="A3" s="3" t="s">
        <v>162</v>
      </c>
      <c r="B3" s="3" t="s">
        <v>163</v>
      </c>
      <c r="C3" s="3">
        <v>120</v>
      </c>
      <c r="D3" s="3" t="s">
        <v>144</v>
      </c>
    </row>
    <row r="4" spans="1:4" x14ac:dyDescent="0.25">
      <c r="A4" s="3" t="s">
        <v>164</v>
      </c>
      <c r="B4" s="3" t="s">
        <v>165</v>
      </c>
      <c r="C4" s="3">
        <v>105.6</v>
      </c>
      <c r="D4" s="3" t="s">
        <v>144</v>
      </c>
    </row>
    <row r="5" spans="1:4" x14ac:dyDescent="0.25">
      <c r="A5" s="3" t="s">
        <v>166</v>
      </c>
      <c r="B5" s="3" t="s">
        <v>167</v>
      </c>
      <c r="C5" s="3">
        <v>14.4</v>
      </c>
      <c r="D5" s="3" t="s">
        <v>144</v>
      </c>
    </row>
    <row r="6" spans="1:4" x14ac:dyDescent="0.25">
      <c r="A6" s="3" t="s">
        <v>168</v>
      </c>
      <c r="B6" s="3" t="s">
        <v>169</v>
      </c>
      <c r="C6" s="3">
        <v>7.5</v>
      </c>
      <c r="D6" s="3" t="s">
        <v>170</v>
      </c>
    </row>
    <row r="7" spans="1:4" x14ac:dyDescent="0.25">
      <c r="A7" s="3" t="s">
        <v>171</v>
      </c>
      <c r="B7" s="3" t="s">
        <v>172</v>
      </c>
      <c r="C7" s="3">
        <v>1480</v>
      </c>
      <c r="D7" s="3" t="s">
        <v>144</v>
      </c>
    </row>
    <row r="8" spans="1:4" x14ac:dyDescent="0.25">
      <c r="A8" s="3" t="s">
        <v>173</v>
      </c>
      <c r="B8" s="3" t="s">
        <v>174</v>
      </c>
      <c r="C8" s="3">
        <v>2.4</v>
      </c>
      <c r="D8" s="3" t="s">
        <v>144</v>
      </c>
    </row>
    <row r="9" spans="1:4" x14ac:dyDescent="0.25">
      <c r="A9" s="3" t="s">
        <v>175</v>
      </c>
      <c r="B9" s="3" t="s">
        <v>176</v>
      </c>
      <c r="C9" s="3">
        <v>0.6</v>
      </c>
      <c r="D9" s="3" t="s">
        <v>144</v>
      </c>
    </row>
    <row r="10" spans="1:4" x14ac:dyDescent="0.25">
      <c r="A10" s="3" t="s">
        <v>153</v>
      </c>
      <c r="B10" s="3" t="s">
        <v>177</v>
      </c>
      <c r="C10" s="3" t="s">
        <v>154</v>
      </c>
      <c r="D10" s="3" t="s">
        <v>178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3" style="24" customWidth="1"/>
    <col min="3" max="3" width="45" style="24" customWidth="1"/>
    <col min="4" max="4" width="14" style="24" customWidth="1"/>
    <col min="5" max="5" width="43" style="24" customWidth="1"/>
    <col min="6" max="6" width="36" style="24" customWidth="1"/>
    <col min="7" max="7" width="15" style="24" customWidth="1"/>
    <col min="8" max="8" width="14" style="24" customWidth="1"/>
    <col min="9" max="9" width="17" style="24" customWidth="1"/>
    <col min="10" max="10" width="14" style="24" customWidth="1"/>
    <col min="11" max="11" width="45" style="24" customWidth="1"/>
  </cols>
  <sheetData>
    <row r="1" ht="24" customHeight="1" spans="1:11" x14ac:dyDescent="0.25">
      <c r="A1" s="25" t="s">
        <v>179</v>
      </c>
      <c r="B1" s="25" t="s">
        <v>180</v>
      </c>
      <c r="C1" s="25" t="s">
        <v>181</v>
      </c>
      <c r="D1" s="25" t="s">
        <v>182</v>
      </c>
      <c r="E1" s="25" t="s">
        <v>183</v>
      </c>
      <c r="F1" s="25" t="s">
        <v>184</v>
      </c>
      <c r="G1" s="25" t="s">
        <v>185</v>
      </c>
      <c r="H1" s="25" t="s">
        <v>186</v>
      </c>
      <c r="I1" s="25" t="s">
        <v>187</v>
      </c>
      <c r="J1" s="25" t="s">
        <v>188</v>
      </c>
      <c r="K1" s="25" t="s">
        <v>189</v>
      </c>
    </row>
    <row r="2" spans="1:11" x14ac:dyDescent="0.25">
      <c r="A2" s="3" t="s">
        <v>190</v>
      </c>
      <c r="B2" s="3" t="s">
        <v>71</v>
      </c>
      <c r="C2" s="3" t="s">
        <v>81</v>
      </c>
      <c r="D2" s="3" t="s">
        <v>70</v>
      </c>
      <c r="E2" s="3" t="s">
        <v>191</v>
      </c>
      <c r="F2" s="3" t="s">
        <v>192</v>
      </c>
      <c r="G2" s="3" t="s">
        <v>44</v>
      </c>
      <c r="H2" s="3" t="s">
        <v>48</v>
      </c>
      <c r="I2" s="3">
        <v>24</v>
      </c>
      <c r="J2" s="3" t="s">
        <v>128</v>
      </c>
      <c r="K2" s="3" t="s">
        <v>81</v>
      </c>
    </row>
    <row r="3" spans="1:11" x14ac:dyDescent="0.25">
      <c r="A3" s="3" t="s">
        <v>193</v>
      </c>
      <c r="B3" s="3" t="s">
        <v>194</v>
      </c>
      <c r="C3" s="3" t="s">
        <v>84</v>
      </c>
      <c r="D3" s="3" t="s">
        <v>70</v>
      </c>
      <c r="E3" s="3" t="s">
        <v>195</v>
      </c>
      <c r="F3" s="3" t="s">
        <v>196</v>
      </c>
      <c r="G3" s="3" t="s">
        <v>50</v>
      </c>
      <c r="H3" s="3" t="s">
        <v>53</v>
      </c>
      <c r="I3" s="3">
        <v>24</v>
      </c>
      <c r="J3" s="3" t="s">
        <v>190</v>
      </c>
      <c r="K3" s="3" t="s">
        <v>84</v>
      </c>
    </row>
    <row r="4" spans="1:11" x14ac:dyDescent="0.25">
      <c r="A4" s="3" t="s">
        <v>197</v>
      </c>
      <c r="B4" s="3" t="s">
        <v>198</v>
      </c>
      <c r="C4" s="3" t="s">
        <v>87</v>
      </c>
      <c r="D4" s="3" t="s">
        <v>70</v>
      </c>
      <c r="E4" s="3" t="s">
        <v>199</v>
      </c>
      <c r="F4" s="3" t="s">
        <v>200</v>
      </c>
      <c r="G4" s="3" t="s">
        <v>54</v>
      </c>
      <c r="H4" s="3" t="s">
        <v>57</v>
      </c>
      <c r="I4" s="3">
        <v>24</v>
      </c>
      <c r="J4" s="3" t="s">
        <v>193</v>
      </c>
      <c r="K4" s="3" t="s">
        <v>87</v>
      </c>
    </row>
    <row r="5" spans="1:11" x14ac:dyDescent="0.25">
      <c r="A5" s="3" t="s">
        <v>201</v>
      </c>
      <c r="B5" s="3" t="s">
        <v>202</v>
      </c>
      <c r="C5" s="3" t="s">
        <v>90</v>
      </c>
      <c r="D5" s="3" t="s">
        <v>70</v>
      </c>
      <c r="E5" s="3" t="s">
        <v>203</v>
      </c>
      <c r="F5" s="3" t="s">
        <v>204</v>
      </c>
      <c r="G5" s="3" t="s">
        <v>58</v>
      </c>
      <c r="H5" s="3" t="s">
        <v>61</v>
      </c>
      <c r="I5" s="3">
        <v>24</v>
      </c>
      <c r="J5" s="3" t="s">
        <v>197</v>
      </c>
      <c r="K5" s="3" t="s">
        <v>90</v>
      </c>
    </row>
    <row r="6" spans="1:11" x14ac:dyDescent="0.25">
      <c r="A6" s="3" t="s">
        <v>205</v>
      </c>
      <c r="B6" s="3" t="s">
        <v>206</v>
      </c>
      <c r="C6" s="3" t="s">
        <v>93</v>
      </c>
      <c r="D6" s="3" t="s">
        <v>70</v>
      </c>
      <c r="E6" s="3" t="s">
        <v>207</v>
      </c>
      <c r="F6" s="3" t="s">
        <v>208</v>
      </c>
      <c r="G6" s="3" t="s">
        <v>62</v>
      </c>
      <c r="H6" s="3" t="s">
        <v>65</v>
      </c>
      <c r="I6" s="3">
        <v>24</v>
      </c>
      <c r="J6" s="3" t="s">
        <v>201</v>
      </c>
      <c r="K6" s="3" t="s">
        <v>93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44" style="24" customWidth="1"/>
    <col min="3" max="3" width="45" style="24" customWidth="1"/>
    <col min="4" max="4" width="16" style="24" customWidth="1"/>
    <col min="5" max="5" width="18" style="24" customWidth="1"/>
    <col min="6" max="6" width="14" style="24" customWidth="1"/>
    <col min="7" max="7" width="15" style="24" customWidth="1"/>
    <col min="8" max="8" width="14" style="24" customWidth="1"/>
    <col min="9" max="9" width="17" style="24" customWidth="1"/>
    <col min="10" max="10" width="18" style="24" customWidth="1"/>
    <col min="11" max="11" width="17" style="24" customWidth="1"/>
    <col min="12" max="13" width="14" style="24" customWidth="1"/>
    <col min="14" max="14" width="33" style="24" customWidth="1"/>
    <col min="15" max="15" width="45" style="24" customWidth="1"/>
    <col min="16" max="16" width="16" style="24" customWidth="1"/>
  </cols>
  <sheetData>
    <row r="1" ht="24" customHeight="1" spans="1:16" x14ac:dyDescent="0.25">
      <c r="A1" s="25" t="s">
        <v>209</v>
      </c>
      <c r="B1" s="25" t="s">
        <v>210</v>
      </c>
      <c r="C1" s="25" t="s">
        <v>5</v>
      </c>
      <c r="D1" s="25" t="s">
        <v>211</v>
      </c>
      <c r="E1" s="25" t="s">
        <v>212</v>
      </c>
      <c r="F1" s="25" t="s">
        <v>213</v>
      </c>
      <c r="G1" s="25" t="s">
        <v>185</v>
      </c>
      <c r="H1" s="25" t="s">
        <v>186</v>
      </c>
      <c r="I1" s="25" t="s">
        <v>187</v>
      </c>
      <c r="J1" s="25" t="s">
        <v>214</v>
      </c>
      <c r="K1" s="25" t="s">
        <v>215</v>
      </c>
      <c r="L1" s="25" t="s">
        <v>216</v>
      </c>
      <c r="M1" s="25" t="s">
        <v>188</v>
      </c>
      <c r="N1" s="25" t="s">
        <v>217</v>
      </c>
      <c r="O1" s="25" t="s">
        <v>189</v>
      </c>
      <c r="P1" s="25" t="s">
        <v>218</v>
      </c>
    </row>
    <row r="2" spans="1:16" x14ac:dyDescent="0.25">
      <c r="A2" s="3" t="s">
        <v>219</v>
      </c>
      <c r="B2" s="3" t="s">
        <v>34</v>
      </c>
      <c r="C2" s="3" t="s">
        <v>81</v>
      </c>
      <c r="D2" s="3" t="s">
        <v>190</v>
      </c>
      <c r="E2" s="3" t="s">
        <v>70</v>
      </c>
      <c r="F2" s="3" t="s">
        <v>220</v>
      </c>
      <c r="G2" s="3" t="s">
        <v>44</v>
      </c>
      <c r="H2" s="3" t="s">
        <v>48</v>
      </c>
      <c r="I2" s="3">
        <v>24</v>
      </c>
      <c r="J2" s="3">
        <v>24</v>
      </c>
      <c r="K2" s="3" t="s">
        <v>144</v>
      </c>
      <c r="L2" s="3">
        <v>2.4</v>
      </c>
      <c r="M2" s="3" t="s">
        <v>128</v>
      </c>
      <c r="N2" s="3" t="s">
        <v>221</v>
      </c>
      <c r="O2" s="3" t="s">
        <v>81</v>
      </c>
      <c r="P2" s="3" t="s">
        <v>222</v>
      </c>
    </row>
    <row r="3" spans="1:16" x14ac:dyDescent="0.25">
      <c r="A3" s="3" t="s">
        <v>223</v>
      </c>
      <c r="B3" s="3" t="s">
        <v>35</v>
      </c>
      <c r="C3" s="3" t="s">
        <v>84</v>
      </c>
      <c r="D3" s="3" t="s">
        <v>193</v>
      </c>
      <c r="E3" s="3" t="s">
        <v>70</v>
      </c>
      <c r="F3" s="3" t="s">
        <v>220</v>
      </c>
      <c r="G3" s="3" t="s">
        <v>50</v>
      </c>
      <c r="H3" s="3" t="s">
        <v>53</v>
      </c>
      <c r="I3" s="3">
        <v>24</v>
      </c>
      <c r="J3" s="3">
        <v>24</v>
      </c>
      <c r="K3" s="3" t="s">
        <v>144</v>
      </c>
      <c r="L3" s="3">
        <v>2.4</v>
      </c>
      <c r="M3" s="3" t="s">
        <v>219</v>
      </c>
      <c r="N3" s="3" t="s">
        <v>224</v>
      </c>
      <c r="O3" s="3" t="s">
        <v>84</v>
      </c>
      <c r="P3" s="3" t="s">
        <v>222</v>
      </c>
    </row>
    <row r="4" spans="1:16" x14ac:dyDescent="0.25">
      <c r="A4" s="3" t="s">
        <v>225</v>
      </c>
      <c r="B4" s="3" t="s">
        <v>36</v>
      </c>
      <c r="C4" s="3" t="s">
        <v>87</v>
      </c>
      <c r="D4" s="3" t="s">
        <v>197</v>
      </c>
      <c r="E4" s="3" t="s">
        <v>70</v>
      </c>
      <c r="F4" s="3" t="s">
        <v>220</v>
      </c>
      <c r="G4" s="3" t="s">
        <v>54</v>
      </c>
      <c r="H4" s="3" t="s">
        <v>57</v>
      </c>
      <c r="I4" s="3">
        <v>24</v>
      </c>
      <c r="J4" s="3">
        <v>24</v>
      </c>
      <c r="K4" s="3" t="s">
        <v>144</v>
      </c>
      <c r="L4" s="3">
        <v>2.4</v>
      </c>
      <c r="M4" s="3" t="s">
        <v>223</v>
      </c>
      <c r="N4" s="3" t="s">
        <v>226</v>
      </c>
      <c r="O4" s="3" t="s">
        <v>87</v>
      </c>
      <c r="P4" s="3" t="s">
        <v>222</v>
      </c>
    </row>
    <row r="5" spans="1:16" x14ac:dyDescent="0.25">
      <c r="A5" s="3" t="s">
        <v>227</v>
      </c>
      <c r="B5" s="3" t="s">
        <v>37</v>
      </c>
      <c r="C5" s="3" t="s">
        <v>90</v>
      </c>
      <c r="D5" s="3" t="s">
        <v>201</v>
      </c>
      <c r="E5" s="3" t="s">
        <v>228</v>
      </c>
      <c r="F5" s="3" t="s">
        <v>220</v>
      </c>
      <c r="G5" s="3" t="s">
        <v>58</v>
      </c>
      <c r="H5" s="3" t="s">
        <v>61</v>
      </c>
      <c r="I5" s="3">
        <v>24</v>
      </c>
      <c r="J5" s="3">
        <v>24</v>
      </c>
      <c r="K5" s="3" t="s">
        <v>144</v>
      </c>
      <c r="L5" s="3">
        <v>2.4</v>
      </c>
      <c r="M5" s="3" t="s">
        <v>225</v>
      </c>
      <c r="N5" s="3" t="s">
        <v>229</v>
      </c>
      <c r="O5" s="3" t="s">
        <v>90</v>
      </c>
      <c r="P5" s="3" t="s">
        <v>222</v>
      </c>
    </row>
    <row r="6" spans="1:16" x14ac:dyDescent="0.25">
      <c r="A6" s="3" t="s">
        <v>230</v>
      </c>
      <c r="B6" s="3" t="s">
        <v>38</v>
      </c>
      <c r="C6" s="3" t="s">
        <v>93</v>
      </c>
      <c r="D6" s="3" t="s">
        <v>205</v>
      </c>
      <c r="E6" s="3" t="s">
        <v>228</v>
      </c>
      <c r="F6" s="3" t="s">
        <v>231</v>
      </c>
      <c r="G6" s="3" t="s">
        <v>62</v>
      </c>
      <c r="H6" s="3" t="s">
        <v>65</v>
      </c>
      <c r="I6" s="3">
        <v>24</v>
      </c>
      <c r="J6" s="3">
        <v>24</v>
      </c>
      <c r="K6" s="3" t="s">
        <v>144</v>
      </c>
      <c r="L6" s="3">
        <v>2.4</v>
      </c>
      <c r="M6" s="3" t="s">
        <v>227</v>
      </c>
      <c r="N6" s="3" t="s">
        <v>232</v>
      </c>
      <c r="O6" s="3" t="s">
        <v>93</v>
      </c>
      <c r="P6" s="3" t="s">
        <v>222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24" customWidth="1"/>
    <col min="2" max="3" width="45" style="24" customWidth="1"/>
    <col min="4" max="4" width="15" style="24" customWidth="1"/>
  </cols>
  <sheetData>
    <row r="1" ht="24" customHeight="1" spans="1:4" x14ac:dyDescent="0.25">
      <c r="A1" s="25" t="s">
        <v>233</v>
      </c>
      <c r="B1" s="25" t="s">
        <v>234</v>
      </c>
      <c r="C1" s="25" t="s">
        <v>235</v>
      </c>
      <c r="D1" s="25" t="s">
        <v>41</v>
      </c>
    </row>
    <row r="2" spans="1:4" x14ac:dyDescent="0.25">
      <c r="A2" s="3" t="s">
        <v>236</v>
      </c>
      <c r="B2" s="3" t="s">
        <v>237</v>
      </c>
      <c r="C2" s="3" t="s">
        <v>238</v>
      </c>
      <c r="D2" s="3">
        <v>14.4</v>
      </c>
    </row>
    <row r="3" spans="1:4" x14ac:dyDescent="0.25">
      <c r="A3" s="3" t="s">
        <v>239</v>
      </c>
      <c r="B3" s="3" t="s">
        <v>240</v>
      </c>
      <c r="C3" s="3" t="s">
        <v>241</v>
      </c>
      <c r="D3" s="3">
        <v>5.04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9" style="24" customWidth="1"/>
    <col min="3" max="6" width="14" style="24" customWidth="1"/>
    <col min="7" max="9" width="45" style="24" customWidth="1"/>
    <col min="10" max="10" width="14" style="24" customWidth="1"/>
  </cols>
  <sheetData>
    <row r="1" ht="24" customHeight="1" spans="1:10" x14ac:dyDescent="0.25">
      <c r="A1" s="25" t="s">
        <v>242</v>
      </c>
      <c r="B1" s="25" t="s">
        <v>5</v>
      </c>
      <c r="C1" s="25" t="s">
        <v>243</v>
      </c>
      <c r="D1" s="25" t="s">
        <v>244</v>
      </c>
      <c r="E1" s="25" t="s">
        <v>111</v>
      </c>
      <c r="F1" s="25" t="s">
        <v>245</v>
      </c>
      <c r="G1" s="25" t="s">
        <v>246</v>
      </c>
      <c r="H1" s="25" t="s">
        <v>247</v>
      </c>
      <c r="I1" s="25" t="s">
        <v>248</v>
      </c>
      <c r="J1" s="25" t="s">
        <v>182</v>
      </c>
    </row>
    <row r="2" spans="1:10" x14ac:dyDescent="0.25">
      <c r="A2" s="3" t="s">
        <v>249</v>
      </c>
      <c r="B2" s="3" t="s">
        <v>114</v>
      </c>
      <c r="C2" s="3" t="s">
        <v>142</v>
      </c>
      <c r="D2" s="3" t="s">
        <v>220</v>
      </c>
      <c r="E2" s="3" t="s">
        <v>220</v>
      </c>
      <c r="F2" s="3" t="s">
        <v>250</v>
      </c>
      <c r="G2" s="3" t="s">
        <v>251</v>
      </c>
      <c r="H2" s="3" t="s">
        <v>116</v>
      </c>
      <c r="I2" s="3" t="s">
        <v>252</v>
      </c>
      <c r="J2" s="3" t="s">
        <v>92</v>
      </c>
    </row>
    <row r="3" spans="1:10" x14ac:dyDescent="0.25">
      <c r="A3" s="3" t="s">
        <v>253</v>
      </c>
      <c r="B3" s="3" t="s">
        <v>117</v>
      </c>
      <c r="C3" s="3" t="s">
        <v>142</v>
      </c>
      <c r="D3" s="3" t="s">
        <v>220</v>
      </c>
      <c r="E3" s="3" t="s">
        <v>220</v>
      </c>
      <c r="F3" s="3" t="s">
        <v>250</v>
      </c>
      <c r="G3" s="3" t="s">
        <v>251</v>
      </c>
      <c r="H3" s="3" t="s">
        <v>119</v>
      </c>
      <c r="I3" s="3" t="s">
        <v>252</v>
      </c>
      <c r="J3" s="3" t="s">
        <v>92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7" style="24" customWidth="1"/>
    <col min="3" max="3" width="45" style="24" customWidth="1"/>
    <col min="4" max="4" width="38" style="24" customWidth="1"/>
    <col min="5" max="6" width="14" style="24" customWidth="1"/>
    <col min="7" max="7" width="29" style="24" customWidth="1"/>
    <col min="8" max="8" width="23" style="24" customWidth="1"/>
    <col min="9" max="9" width="19" style="24" customWidth="1"/>
  </cols>
  <sheetData>
    <row r="1" ht="24" customHeight="1" spans="1:9" x14ac:dyDescent="0.25">
      <c r="A1" s="25" t="s">
        <v>254</v>
      </c>
      <c r="B1" s="25" t="s">
        <v>255</v>
      </c>
      <c r="C1" s="25" t="s">
        <v>5</v>
      </c>
      <c r="D1" s="25" t="s">
        <v>158</v>
      </c>
      <c r="E1" s="25" t="s">
        <v>159</v>
      </c>
      <c r="F1" s="25" t="s">
        <v>235</v>
      </c>
      <c r="G1" s="25" t="s">
        <v>256</v>
      </c>
      <c r="H1" s="25" t="s">
        <v>257</v>
      </c>
      <c r="I1" s="25" t="s">
        <v>258</v>
      </c>
    </row>
    <row r="2" spans="1:9" x14ac:dyDescent="0.25">
      <c r="A2" s="3" t="s">
        <v>259</v>
      </c>
      <c r="B2" s="3" t="s">
        <v>260</v>
      </c>
      <c r="C2" s="3" t="s">
        <v>261</v>
      </c>
      <c r="D2" s="3" t="s">
        <v>262</v>
      </c>
      <c r="E2" s="3" t="s">
        <v>144</v>
      </c>
      <c r="F2" s="3">
        <v>120</v>
      </c>
      <c r="G2" s="3" t="s">
        <v>263</v>
      </c>
      <c r="H2" s="3" t="s">
        <v>264</v>
      </c>
      <c r="I2" s="3" t="s">
        <v>265</v>
      </c>
    </row>
    <row r="3" spans="1:9" x14ac:dyDescent="0.25">
      <c r="A3" s="3" t="s">
        <v>266</v>
      </c>
      <c r="B3" s="3" t="s">
        <v>267</v>
      </c>
      <c r="C3" s="3" t="s">
        <v>268</v>
      </c>
      <c r="D3" s="3" t="s">
        <v>269</v>
      </c>
      <c r="E3" s="3" t="s">
        <v>170</v>
      </c>
      <c r="F3" s="3">
        <v>7.5</v>
      </c>
      <c r="G3" s="3" t="s">
        <v>270</v>
      </c>
      <c r="H3" s="3" t="s">
        <v>271</v>
      </c>
      <c r="I3" s="3" t="s">
        <v>272</v>
      </c>
    </row>
    <row r="4" spans="1:9" x14ac:dyDescent="0.25">
      <c r="A4" s="3" t="s">
        <v>273</v>
      </c>
      <c r="B4" s="3" t="s">
        <v>274</v>
      </c>
      <c r="C4" s="3" t="s">
        <v>275</v>
      </c>
      <c r="D4" s="3" t="s">
        <v>276</v>
      </c>
      <c r="E4" s="3" t="s">
        <v>144</v>
      </c>
      <c r="F4" s="3">
        <v>14.4</v>
      </c>
      <c r="G4" s="3" t="s">
        <v>277</v>
      </c>
      <c r="H4" s="3" t="s">
        <v>278</v>
      </c>
      <c r="I4" s="3" t="s">
        <v>279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8" style="24" customWidth="1"/>
    <col min="3" max="3" width="14" style="24" customWidth="1"/>
    <col min="4" max="4" width="38" style="24" customWidth="1"/>
    <col min="5" max="5" width="19" style="24" customWidth="1"/>
    <col min="6" max="6" width="16" style="24" customWidth="1"/>
    <col min="7" max="7" width="20" style="24" customWidth="1"/>
    <col min="8" max="8" width="14" style="24" customWidth="1"/>
    <col min="9" max="9" width="45" style="24" customWidth="1"/>
    <col min="10" max="10" width="16" style="24" customWidth="1"/>
  </cols>
  <sheetData>
    <row r="1" ht="24" customHeight="1" spans="1:10" x14ac:dyDescent="0.25">
      <c r="A1" s="25" t="s">
        <v>280</v>
      </c>
      <c r="B1" s="25" t="s">
        <v>281</v>
      </c>
      <c r="C1" s="25" t="s">
        <v>282</v>
      </c>
      <c r="D1" s="25" t="s">
        <v>181</v>
      </c>
      <c r="E1" s="25" t="s">
        <v>283</v>
      </c>
      <c r="F1" s="25" t="s">
        <v>284</v>
      </c>
      <c r="G1" s="25" t="s">
        <v>285</v>
      </c>
      <c r="H1" s="25" t="s">
        <v>286</v>
      </c>
      <c r="I1" s="25" t="s">
        <v>287</v>
      </c>
      <c r="J1" s="25" t="s">
        <v>288</v>
      </c>
    </row>
    <row r="2" spans="1:10" x14ac:dyDescent="0.25">
      <c r="A2" s="3" t="s">
        <v>289</v>
      </c>
      <c r="B2" s="3" t="s">
        <v>290</v>
      </c>
      <c r="C2" s="3" t="s">
        <v>291</v>
      </c>
      <c r="D2" s="3" t="s">
        <v>292</v>
      </c>
      <c r="E2" s="3" t="s">
        <v>265</v>
      </c>
      <c r="F2" s="3" t="s">
        <v>19</v>
      </c>
      <c r="G2" s="3" t="s">
        <v>23</v>
      </c>
      <c r="H2" s="3" t="s">
        <v>293</v>
      </c>
      <c r="I2" s="3" t="s">
        <v>128</v>
      </c>
      <c r="J2" s="3" t="s">
        <v>294</v>
      </c>
    </row>
    <row r="3" spans="1:10" x14ac:dyDescent="0.25">
      <c r="A3" s="3" t="s">
        <v>295</v>
      </c>
      <c r="B3" s="3" t="s">
        <v>296</v>
      </c>
      <c r="C3" s="3" t="s">
        <v>297</v>
      </c>
      <c r="D3" s="3" t="s">
        <v>298</v>
      </c>
      <c r="E3" s="3" t="s">
        <v>272</v>
      </c>
      <c r="F3" s="3" t="s">
        <v>139</v>
      </c>
      <c r="G3" s="3" t="s">
        <v>140</v>
      </c>
      <c r="H3" s="3" t="s">
        <v>299</v>
      </c>
      <c r="I3" s="3" t="s">
        <v>300</v>
      </c>
      <c r="J3" s="3" t="s">
        <v>294</v>
      </c>
    </row>
    <row r="4" spans="1:10" x14ac:dyDescent="0.25">
      <c r="A4" s="3" t="s">
        <v>301</v>
      </c>
      <c r="B4" s="3" t="s">
        <v>302</v>
      </c>
      <c r="C4" s="3" t="s">
        <v>297</v>
      </c>
      <c r="D4" s="3" t="s">
        <v>303</v>
      </c>
      <c r="E4" s="3" t="s">
        <v>304</v>
      </c>
      <c r="F4" s="3" t="s">
        <v>111</v>
      </c>
      <c r="G4" s="3" t="s">
        <v>242</v>
      </c>
      <c r="H4" s="3" t="s">
        <v>305</v>
      </c>
      <c r="I4" s="3" t="s">
        <v>128</v>
      </c>
      <c r="J4" s="3" t="s">
        <v>306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8" style="11" customWidth="1"/>
    <col min="5" max="5" width="18" style="12" customWidth="1"/>
  </cols>
  <sheetData>
    <row r="1" ht="24" customHeight="1" spans="1:5" x14ac:dyDescent="0.25">
      <c r="A1" s="13" t="s">
        <v>20</v>
      </c>
      <c r="B1" s="15" t="s">
        <v>41</v>
      </c>
      <c r="C1" s="15" t="s">
        <v>29</v>
      </c>
      <c r="D1" s="15" t="s">
        <v>125</v>
      </c>
      <c r="E1" s="16" t="s">
        <v>307</v>
      </c>
    </row>
    <row r="2" spans="1:5" x14ac:dyDescent="0.25">
      <c r="A2" s="2" t="s">
        <v>308</v>
      </c>
      <c r="B2" s="21">
        <f>SUMIF('Production Plan'!$C$2:$C$51,A2,'Production Plan'!$F$2:$F$51)</f>
        <v>7.2</v>
      </c>
      <c r="C2" s="21">
        <f>SUMIF('Production Plan'!$C$2:$C$51,A2,'Production Plan'!$I$2:$I$51)</f>
        <v>0</v>
      </c>
      <c r="D2" s="21" t="str">
        <f>IF(COUNT('Production Plan'!$I$2:$I$51)=0,"",C2-B2)</f>
        <v/>
      </c>
      <c r="E2" s="22" t="str">
        <f>IF(C2=0,"",IFERROR(C2/B2,""))</f>
        <v/>
      </c>
    </row>
    <row r="3" spans="1:5" x14ac:dyDescent="0.25">
      <c r="A3" s="2" t="s">
        <v>309</v>
      </c>
      <c r="B3" s="21">
        <f>SUMIF('Production Plan'!$C$2:$C$51,A3,'Production Plan'!$F$2:$F$51)</f>
        <v>50.4</v>
      </c>
      <c r="C3" s="21">
        <f>SUMIF('Production Plan'!$C$2:$C$51,A3,'Production Plan'!$I$2:$I$51)</f>
        <v>0</v>
      </c>
      <c r="D3" s="21" t="str">
        <f>IF(COUNT('Production Plan'!$I$2:$I$51)=0,"",C3-B3)</f>
        <v/>
      </c>
      <c r="E3" s="22" t="str">
        <f>IF(C3=0,"",IFERROR(C3/B3,""))</f>
        <v/>
      </c>
    </row>
    <row r="4" spans="1:5" x14ac:dyDescent="0.25">
      <c r="A4" s="2" t="s">
        <v>310</v>
      </c>
      <c r="B4" s="21">
        <f>SUMIF('Production Plan'!$C$2:$C$51,A4,'Production Plan'!$F$2:$F$51)</f>
        <v>52.8</v>
      </c>
      <c r="C4" s="21">
        <f>SUMIF('Production Plan'!$C$2:$C$51,A4,'Production Plan'!$I$2:$I$51)</f>
        <v>0</v>
      </c>
      <c r="D4" s="21" t="str">
        <f>IF(COUNT('Production Plan'!$I$2:$I$51)=0,"",C4-B4)</f>
        <v/>
      </c>
      <c r="E4" s="22" t="str">
        <f>IF(C4=0,"",IFERROR(C4/B4,""))</f>
        <v/>
      </c>
    </row>
    <row r="5" spans="1:5" x14ac:dyDescent="0.25">
      <c r="A5" s="2" t="s">
        <v>311</v>
      </c>
      <c r="B5" s="21">
        <f>SUMIF('Production Plan'!$C$2:$C$51,A5,'Production Plan'!$F$2:$F$51)</f>
        <v>9.6</v>
      </c>
      <c r="C5" s="21">
        <f>SUMIF('Production Plan'!$C$2:$C$51,A5,'Production Plan'!$I$2:$I$51)</f>
        <v>0</v>
      </c>
      <c r="D5" s="21" t="str">
        <f>IF(COUNT('Production Plan'!$I$2:$I$51)=0,"",C5-B5)</f>
        <v/>
      </c>
      <c r="E5" s="22" t="str">
        <f>IF(C5=0,"",IFERROR(C5/B5,""))</f>
        <v/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6" customWidth="1"/>
    <col min="3" max="3" width="50" customWidth="1"/>
    <col min="4" max="6" width="4" customWidth="1"/>
  </cols>
  <sheetData>
    <row r="1" spans="1:6" s="24" customFormat="1" x14ac:dyDescent="0.25">
      <c r="A1" s="26" t="s">
        <v>312</v>
      </c>
      <c r="B1" s="26"/>
      <c r="C1" s="26"/>
      <c r="D1" s="26"/>
      <c r="E1" s="26"/>
      <c r="F1" s="26"/>
    </row>
    <row r="2" spans="1:6" s="24" customFormat="1" x14ac:dyDescent="0.25">
      <c r="A2" s="26"/>
      <c r="B2" s="26"/>
      <c r="C2" s="26"/>
      <c r="D2" s="26"/>
      <c r="E2" s="26"/>
      <c r="F2" s="26"/>
    </row>
    <row r="4" ht="24" customHeight="1" spans="1:2" s="24" customFormat="1" x14ac:dyDescent="0.25">
      <c r="A4" s="25" t="s">
        <v>313</v>
      </c>
      <c r="B4" s="25" t="s">
        <v>314</v>
      </c>
    </row>
    <row r="5" spans="1:2" s="24" customFormat="1" x14ac:dyDescent="0.25">
      <c r="A5" s="3" t="s">
        <v>71</v>
      </c>
      <c r="B5" s="3" t="s">
        <v>81</v>
      </c>
    </row>
    <row r="6" spans="1:2" s="24" customFormat="1" x14ac:dyDescent="0.25">
      <c r="A6" s="3" t="s">
        <v>194</v>
      </c>
      <c r="B6" s="3" t="s">
        <v>84</v>
      </c>
    </row>
    <row r="7" spans="1:2" s="24" customFormat="1" x14ac:dyDescent="0.25">
      <c r="A7" s="3" t="s">
        <v>198</v>
      </c>
      <c r="B7" s="3" t="s">
        <v>87</v>
      </c>
    </row>
    <row r="8" spans="1:2" s="24" customFormat="1" x14ac:dyDescent="0.25">
      <c r="A8" s="3" t="s">
        <v>202</v>
      </c>
      <c r="B8" s="3" t="s">
        <v>90</v>
      </c>
    </row>
    <row r="9" spans="1:2" s="24" customFormat="1" x14ac:dyDescent="0.25">
      <c r="A9" s="3" t="s">
        <v>206</v>
      </c>
      <c r="B9" s="3" t="s">
        <v>93</v>
      </c>
    </row>
    <row r="12" ht="24" customHeight="1" spans="1:3" s="24" customFormat="1" x14ac:dyDescent="0.25">
      <c r="A12" s="25" t="s">
        <v>113</v>
      </c>
      <c r="B12" s="25" t="s">
        <v>111</v>
      </c>
      <c r="C12" s="25" t="s">
        <v>247</v>
      </c>
    </row>
    <row r="13" spans="1:3" s="24" customFormat="1" x14ac:dyDescent="0.25">
      <c r="A13" s="3" t="s">
        <v>114</v>
      </c>
      <c r="B13" s="3" t="s">
        <v>115</v>
      </c>
      <c r="C13" s="3" t="s">
        <v>116</v>
      </c>
    </row>
    <row r="14" spans="1:3" s="24" customFormat="1" x14ac:dyDescent="0.25">
      <c r="A14" s="3" t="s">
        <v>117</v>
      </c>
      <c r="B14" s="3" t="s">
        <v>118</v>
      </c>
      <c r="C14" s="3" t="s">
        <v>119</v>
      </c>
    </row>
    <row r="15" spans="1:3" s="24" customFormat="1" x14ac:dyDescent="0.25">
      <c r="A15" s="3" t="s">
        <v>121</v>
      </c>
      <c r="B15" s="3" t="s">
        <v>122</v>
      </c>
      <c r="C15" s="3" t="s">
        <v>123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90" style="24" customWidth="1"/>
  </cols>
  <sheetData>
    <row r="1" spans="1:4" x14ac:dyDescent="0.25">
      <c r="A1" s="26" t="s">
        <v>315</v>
      </c>
      <c r="B1" s="26"/>
      <c r="C1" s="26"/>
      <c r="D1" s="26"/>
    </row>
    <row r="2" spans="1:4" x14ac:dyDescent="0.25">
      <c r="A2" s="26"/>
      <c r="B2" s="26"/>
      <c r="C2" s="26"/>
      <c r="D2" s="26"/>
    </row>
    <row r="4" ht="24" customHeight="1" spans="1:2" x14ac:dyDescent="0.25">
      <c r="A4" s="13" t="s">
        <v>18</v>
      </c>
      <c r="B4" s="25" t="s">
        <v>120</v>
      </c>
    </row>
    <row r="5" spans="1:2" x14ac:dyDescent="0.25">
      <c r="A5" s="2">
        <v>1</v>
      </c>
      <c r="B5" s="3" t="s">
        <v>316</v>
      </c>
    </row>
    <row r="6" spans="1:2" x14ac:dyDescent="0.25">
      <c r="A6" s="2">
        <v>2</v>
      </c>
      <c r="B6" s="3" t="s">
        <v>317</v>
      </c>
    </row>
    <row r="7" spans="1:2" x14ac:dyDescent="0.25">
      <c r="A7" s="2">
        <v>3</v>
      </c>
      <c r="B7" s="3" t="s">
        <v>318</v>
      </c>
    </row>
    <row r="8" spans="1:2" x14ac:dyDescent="0.25">
      <c r="A8" s="2">
        <v>4</v>
      </c>
      <c r="B8" s="3" t="s">
        <v>319</v>
      </c>
    </row>
    <row r="9" spans="1:2" x14ac:dyDescent="0.25">
      <c r="A9" s="2">
        <v>5</v>
      </c>
      <c r="B9" s="3" t="s">
        <v>320</v>
      </c>
    </row>
    <row r="10" spans="1:2" x14ac:dyDescent="0.25">
      <c r="A10" s="2">
        <v>6</v>
      </c>
      <c r="B10" s="3" t="s">
        <v>321</v>
      </c>
    </row>
    <row r="11" spans="1:2" x14ac:dyDescent="0.25">
      <c r="A11" s="2">
        <v>7</v>
      </c>
      <c r="B11" s="3" t="s">
        <v>322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Production Plan</vt:lpstr>
      <vt:lpstr>Weekly Schedule</vt:lpstr>
      <vt:lpstr>Resource Allocation</vt:lpstr>
      <vt:lpstr>Milestones</vt:lpstr>
      <vt:lpstr>QA Review</vt:lpstr>
      <vt:lpstr>Risks and Assumptions</vt:lpstr>
      <vt:lpstr>Progress Tracker</vt:lpstr>
      <vt:lpstr>Summary</vt:lpstr>
      <vt:lpstr>Project Information</vt:lpstr>
      <vt:lpstr>Capacity Analysis</vt:lpstr>
      <vt:lpstr>Workflow Stages</vt:lpstr>
      <vt:lpstr>Task Breakdown</vt:lpstr>
      <vt:lpstr>Quality Plan</vt:lpstr>
      <vt:lpstr>Risk Register</vt:lpstr>
      <vt:lpstr>KPI Tracker</vt:lpstr>
      <vt:lpstr>Chart Specs</vt:lpstr>
      <vt:lpstr>Monthly Summary</vt:lpstr>
      <vt:lpstr>Phases &amp; Risks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Chatbot2ProPl</dc:creator>
  <dc:title/>
  <dc:subject/>
  <dc:description/>
  <cp:keywords/>
  <cp:category/>
  <cp:lastModifiedBy>Unknown</cp:lastModifiedBy>
  <dcterms:created xsi:type="dcterms:W3CDTF">2026-07-29T07:29:23Z</dcterms:created>
  <dcterms:modified xsi:type="dcterms:W3CDTF">2026-07-29T07:29:23Z</dcterms:modified>
</cp:coreProperties>
</file>