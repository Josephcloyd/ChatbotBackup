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<sst xmlns="http://schemas.openxmlformats.org/spreadsheetml/2006/main" count="676" uniqueCount="318">
  <si>
    <t>Production Plan | Overview</t>
  </si>
  <si>
    <t>Project</t>
  </si>
  <si>
    <t>API Check Annotation Capacity Plan 2026-07-29T06-56-34-330Z</t>
  </si>
  <si>
    <t>Client</t>
  </si>
  <si>
    <t>Internal</t>
  </si>
  <si>
    <t>Description</t>
  </si>
  <si>
    <t>Create a production plan for four annotators with 120 total hours over 50 weekdays.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</si>
  <si>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</si>
  <si>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</si>
  <si>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</si>
  <si>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</si>
  <si>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</si>
  <si>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</si>
  <si>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</si>
  <si>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</si>
  <si>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</si>
  <si>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</si>
  <si>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API Check Annotation Capacity Plan 2026-07-29T06-56-34-330Z revision 2: The 120 hours should be for each annotator, not the entire team.. Planned workload: 480 hours from 2026-07-29 to 2026-10-06 with 4 resource(s).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</si>
  <si>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</si>
  <si>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</si>
  <si>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</si>
  <si>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</si>
  <si>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</si>
  <si>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</si>
  <si>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</si>
  <si>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</si>
  <si>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</si>
  <si>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</si>
  <si>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</si>
  <si>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</si>
  <si>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</si>
  <si>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</si>
  <si>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</si>
  <si>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</si>
  <si>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Guideline Setup batch annotation</t>
  </si>
  <si>
    <t>Pilot Annotation batch annotation</t>
  </si>
  <si>
    <t>Production Annotation batch annotation</t>
  </si>
  <si>
    <t>QA sample and adjudicate annotation output</t>
  </si>
  <si>
    <t>Review &amp; Delivery batch annotation</t>
  </si>
  <si>
    <t>Week</t>
  </si>
  <si>
    <t>End Date</t>
  </si>
  <si>
    <t>Planned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</si>
  <si>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</si>
  <si>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</si>
  <si>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</si>
  <si>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</si>
  <si>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</si>
  <si>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</si>
  <si>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</si>
  <si>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</si>
  <si>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</si>
  <si>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</si>
  <si>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</si>
  <si>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</si>
  <si>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</si>
  <si>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</si>
  <si>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</si>
  <si>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</si>
  <si>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</si>
  <si>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</si>
  <si>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</si>
  <si>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</si>
  <si>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</si>
  <si>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</si>
  <si>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</si>
  <si>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</si>
  <si>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Resource</t>
  </si>
  <si>
    <t>Role</t>
  </si>
  <si>
    <t>Primary Focus</t>
  </si>
  <si>
    <t>Resource 1</t>
  </si>
  <si>
    <t>Annotator</t>
  </si>
  <si>
    <t>Guideline Setup</t>
  </si>
  <si>
    <t>Weekday allocation</t>
  </si>
  <si>
    <t>Resource 2</t>
  </si>
  <si>
    <t>Pilot Annotation</t>
  </si>
  <si>
    <t>Resource 3</t>
  </si>
  <si>
    <t>Production Annotation</t>
  </si>
  <si>
    <t>Resource 4</t>
  </si>
  <si>
    <t>QA Sampling</t>
  </si>
  <si>
    <t>Milestone</t>
  </si>
  <si>
    <t>Target Date</t>
  </si>
  <si>
    <t>Owner</t>
  </si>
  <si>
    <t>Dependency</t>
  </si>
  <si>
    <t>Acceptance Check</t>
  </si>
  <si>
    <t>Guideline Setup complete</t>
  </si>
  <si>
    <t>Inputs confirmed</t>
  </si>
  <si>
    <t>Finalize annotation rules, examples, and acceptance criteria.</t>
  </si>
  <si>
    <t>Pilot Annotation complete</t>
  </si>
  <si>
    <t>Run a small batch to calibrate annotators and detect ambiguity.</t>
  </si>
  <si>
    <t>Production Annotation complete</t>
  </si>
  <si>
    <t>Complete the main annotation workload at target throughput.</t>
  </si>
  <si>
    <t>QA Sampling complete</t>
  </si>
  <si>
    <t>Sample completed work and resolve quality issues.</t>
  </si>
  <si>
    <t>Review &amp; Delivery complete</t>
  </si>
  <si>
    <t>Project lead</t>
  </si>
  <si>
    <t>Review metrics, apply corrections, and package outputs.</t>
  </si>
  <si>
    <t>Checkpoint</t>
  </si>
  <si>
    <t>Scope</t>
  </si>
  <si>
    <t>Criteria</t>
  </si>
  <si>
    <t>Week 1 quality review</t>
  </si>
  <si>
    <t>QA sample, findings review, and correction queue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</si>
  <si>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</si>
  <si>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</si>
  <si>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</si>
  <si>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</si>
  <si>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</si>
  <si>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</si>
  <si>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</si>
  <si>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</si>
  <si>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</si>
  <si>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Final review</t>
  </si>
  <si>
    <t>Type</t>
  </si>
  <si>
    <t>Item</t>
  </si>
  <si>
    <t>Impact</t>
  </si>
  <si>
    <t>Mitigation / Note</t>
  </si>
  <si>
    <t>Risk</t>
  </si>
  <si>
    <t>Actual productivity may differ from planning assumptions.</t>
  </si>
  <si>
    <t>MEDIUM</t>
  </si>
  <si>
    <t>Track progress daily and escalate blockers early.</t>
  </si>
  <si>
    <t>Quality findings may require rework near the deadline.</t>
  </si>
  <si>
    <t>HIGH</t>
  </si>
  <si>
    <t>Reserve explicit review and correction time.</t>
  </si>
  <si>
    <t>Assumption</t>
  </si>
  <si>
    <t>Weekends excluded</t>
  </si>
  <si>
    <t>Controls available workdays and daily target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</si>
  <si>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</si>
  <si>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</si>
  <si>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</si>
  <si>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</si>
  <si>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</si>
  <si>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</si>
  <si>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</si>
  <si>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</si>
  <si>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</si>
  <si>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</si>
  <si>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</si>
  <si>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</si>
  <si>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</si>
  <si>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</si>
  <si>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</si>
  <si>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</si>
  <si>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Metric</t>
  </si>
  <si>
    <t>Value</t>
  </si>
  <si>
    <t>Project type</t>
  </si>
  <si>
    <t>annotation</t>
  </si>
  <si>
    <t>Production unit</t>
  </si>
  <si>
    <t>hours</t>
  </si>
  <si>
    <t>Start date</t>
  </si>
  <si>
    <t>End date</t>
  </si>
  <si>
    <t>Total planned hours</t>
  </si>
  <si>
    <t>Team size</t>
  </si>
  <si>
    <t>Schedule mode</t>
  </si>
  <si>
    <t>Field</t>
  </si>
  <si>
    <t>Project category</t>
  </si>
  <si>
    <t>Planning model</t>
  </si>
  <si>
    <t>Not specified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</si>
  <si>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</si>
  <si>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</si>
  <si>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</si>
  <si>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</si>
  <si>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</si>
  <si>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</si>
  <si>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</si>
  <si>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</si>
  <si>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</si>
  <si>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</si>
  <si>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</si>
  <si>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</si>
  <si>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</si>
  <si>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</si>
  <si>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</si>
  <si>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</si>
  <si>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</si>
  <si>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</si>
  <si>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</si>
  <si>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</si>
  <si>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</si>
  <si>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</si>
  <si>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</si>
  <si>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</si>
  <si>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</si>
  <si>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</si>
  <si>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</si>
  <si>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</si>
  <si>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</si>
  <si>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</si>
  <si>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</si>
  <si>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</si>
  <si>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</si>
  <si>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</si>
  <si>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</si>
  <si>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</si>
  <si>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</si>
  <si>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</si>
  <si>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Project request and confirmed constraints</t>
  </si>
  <si>
    <t>Guideline Setup deliverables</t>
  </si>
  <si>
    <t>STG-02</t>
  </si>
  <si>
    <t>Guideline Setup outputs</t>
  </si>
  <si>
    <t>Pilot Annotation deliverables</t>
  </si>
  <si>
    <t>STG-03</t>
  </si>
  <si>
    <t>Pilot Annotation outputs</t>
  </si>
  <si>
    <t>Production Annotation deliverables</t>
  </si>
  <si>
    <t>STG-04</t>
  </si>
  <si>
    <t>Production Annotation outputs</t>
  </si>
  <si>
    <t>QA Sampling deliverables</t>
  </si>
  <si>
    <t>STG-05</t>
  </si>
  <si>
    <t>Review &amp; Delivery</t>
  </si>
  <si>
    <t>QA Sampling outputs</t>
  </si>
  <si>
    <t>Review &amp; Delivery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</si>
  <si>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</si>
  <si>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</si>
  <si>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</si>
  <si>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</si>
  <si>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</si>
  <si>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</si>
  <si>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</si>
  <si>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</si>
  <si>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</si>
  <si>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</si>
  <si>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</si>
  <si>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Guideline Setup completed</t>
  </si>
  <si>
    <t>NOT_STARTED</t>
  </si>
  <si>
    <t>TASK-002</t>
  </si>
  <si>
    <t>Pilot Annotation completed</t>
  </si>
  <si>
    <t>TASK-003</t>
  </si>
  <si>
    <t>Production Annotation completed</t>
  </si>
  <si>
    <t>TASK-004</t>
  </si>
  <si>
    <t>Quality reviewer</t>
  </si>
  <si>
    <t>QA Sampling completed</t>
  </si>
  <si>
    <t>TASK-005</t>
  </si>
  <si>
    <t>Review &amp; Delivery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</si>
  <si>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</si>
  <si>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</si>
  <si>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</si>
  <si>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</si>
  <si>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</si>
  <si>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</si>
  <si>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</si>
  <si>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</si>
  <si>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</si>
  <si>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</si>
  <si>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</si>
  <si>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</si>
  <si>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</si>
  <si>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</si>
  <si>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</si>
  <si>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</si>
  <si>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</si>
  <si>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</si>
  <si>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</si>
  <si>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</si>
  <si>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</si>
  <si>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</si>
  <si>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</si>
  <si>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</si>
  <si>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</si>
  <si>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</si>
  <si>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</si>
  <si>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</si>
  <si>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</si>
  <si>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</si>
  <si>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</si>
  <si>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</si>
  <si>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</si>
  <si>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</si>
  <si>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</si>
  <si>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</si>
  <si>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</si>
  <si>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</si>
  <si>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</si>
  <si>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</si>
  <si>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</si>
  <si>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</si>
  <si>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</si>
  <si>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</si>
  <si>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</si>
  <si>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</si>
  <si>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</si>
  <si>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</si>
  <si>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</si>
  <si>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</si>
  <si>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</si>
  <si>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</si>
  <si>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</si>
  <si>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</si>
  <si>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</si>
  <si>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</si>
  <si>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</si>
  <si>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</si>
  <si>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</si>
  <si>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</si>
  <si>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</si>
  <si>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</si>
  <si>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</si>
  <si>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</si>
  <si>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</si>
  <si>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</si>
  <si>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</si>
  <si>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</si>
  <si>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</si>
  <si>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</si>
  <si>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</si>
  <si>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</si>
  <si>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</si>
  <si>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</si>
  <si>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</si>
  <si>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</si>
  <si>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</si>
  <si>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</si>
  <si>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</si>
  <si>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</si>
  <si>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</si>
  <si>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</si>
  <si>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</si>
  <si>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Weekdays only scheduling was used.</t>
  </si>
  <si>
    <t>Created by isolated API workflow check.</t>
  </si>
  <si>
    <t>Total target hours are distributed across 50 scheduled days.</t>
  </si>
  <si>
    <t>Revision 2: The 120 hours should be for each annotator, not the entire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</si>
</sst>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46301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50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Plan'!F2:F51)</f>
        <v>480</v>
      </c>
      <c r="B12" s="6"/>
      <c r="C12" s="7">
        <f>MAX('Production Plan'!E2:E51)</f>
        <v>4</v>
      </c>
      <c r="D12" s="7"/>
      <c r="E12" s="6">
        <f>SUM('Production Plan'!I2:I51)</f>
        <v>0</v>
      </c>
      <c r="F12" s="6"/>
      <c r="G12" s="8" t="str">
        <f>IF(COUNT('Production Plan'!I2:I51)=0,"",IFERROR(E12/A12,""))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7">
        <v>4</v>
      </c>
      <c r="F2" s="18">
        <v>9.6</v>
      </c>
      <c r="G2" s="18">
        <f>IFERROR(F2/E2,0)</f>
        <v>2.4</v>
      </c>
      <c r="H2" s="19"/>
      <c r="I2" s="20"/>
      <c r="J2" s="21" t="str">
        <f>IF(OR(H2="",I2=""),"",I2/H2)</f>
        <v/>
      </c>
      <c r="K2" s="18">
        <v>9.6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23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7">
        <v>4</v>
      </c>
      <c r="F3" s="18">
        <v>9.6</v>
      </c>
      <c r="G3" s="18">
        <f>IFERROR(F3/E3,0)</f>
        <v>2.4</v>
      </c>
      <c r="H3" s="19"/>
      <c r="I3" s="20"/>
      <c r="J3" s="21" t="str">
        <f>IF(OR(H3="",I3=""),"",I3/H3)</f>
        <v/>
      </c>
      <c r="K3" s="18">
        <v>9.6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23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7">
        <v>4</v>
      </c>
      <c r="F4" s="18">
        <v>9.6</v>
      </c>
      <c r="G4" s="18">
        <f>IFERROR(F4/E4,0)</f>
        <v>2.4</v>
      </c>
      <c r="H4" s="19"/>
      <c r="I4" s="20"/>
      <c r="J4" s="21" t="str">
        <f>IF(OR(H4="",I4=""),"",I4/H4)</f>
        <v/>
      </c>
      <c r="K4" s="18">
        <v>9.6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23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7">
        <v>4</v>
      </c>
      <c r="F5" s="18">
        <v>9.6</v>
      </c>
      <c r="G5" s="18">
        <f>IFERROR(F5/E5,0)</f>
        <v>2.4</v>
      </c>
      <c r="H5" s="19"/>
      <c r="I5" s="20"/>
      <c r="J5" s="21" t="str">
        <f>IF(OR(H5="",I5=""),"",I5/H5)</f>
        <v/>
      </c>
      <c r="K5" s="18">
        <v>9.6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23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7">
        <v>4</v>
      </c>
      <c r="F6" s="18">
        <v>9.6</v>
      </c>
      <c r="G6" s="18">
        <f>IFERROR(F6/E6,0)</f>
        <v>2.4</v>
      </c>
      <c r="H6" s="19"/>
      <c r="I6" s="20"/>
      <c r="J6" s="21" t="str">
        <f>IF(OR(H6="",I6=""),"",I6/H6)</f>
        <v/>
      </c>
      <c r="K6" s="18">
        <v>9.6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23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7">
        <v>4</v>
      </c>
      <c r="F7" s="18">
        <v>9.6</v>
      </c>
      <c r="G7" s="18">
        <f>IFERROR(F7/E7,0)</f>
        <v>2.4</v>
      </c>
      <c r="H7" s="19"/>
      <c r="I7" s="20"/>
      <c r="J7" s="21" t="str">
        <f>IF(OR(H7="",I7=""),"",I7/H7)</f>
        <v/>
      </c>
      <c r="K7" s="18">
        <v>9.6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23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7">
        <v>4</v>
      </c>
      <c r="F8" s="18">
        <v>9.6</v>
      </c>
      <c r="G8" s="18">
        <f>IFERROR(F8/E8,0)</f>
        <v>2.4</v>
      </c>
      <c r="H8" s="19"/>
      <c r="I8" s="20"/>
      <c r="J8" s="21" t="str">
        <f>IF(OR(H8="",I8=""),"",I8/H8)</f>
        <v/>
      </c>
      <c r="K8" s="18">
        <v>9.6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23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7">
        <v>4</v>
      </c>
      <c r="F9" s="18">
        <v>9.6</v>
      </c>
      <c r="G9" s="18">
        <f>IFERROR(F9/E9,0)</f>
        <v>2.4</v>
      </c>
      <c r="H9" s="19"/>
      <c r="I9" s="20"/>
      <c r="J9" s="21" t="str">
        <f>IF(OR(H9="",I9=""),"",I9/H9)</f>
        <v/>
      </c>
      <c r="K9" s="18">
        <v>9.6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23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7">
        <v>4</v>
      </c>
      <c r="F10" s="18">
        <v>9.6</v>
      </c>
      <c r="G10" s="18">
        <f>IFERROR(F10/E10,0)</f>
        <v>2.4</v>
      </c>
      <c r="H10" s="19"/>
      <c r="I10" s="20"/>
      <c r="J10" s="21" t="str">
        <f>IF(OR(H10="",I10=""),"",I10/H10)</f>
        <v/>
      </c>
      <c r="K10" s="18">
        <v>9.6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23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7">
        <v>4</v>
      </c>
      <c r="F11" s="18">
        <v>9.6</v>
      </c>
      <c r="G11" s="18">
        <f>IFERROR(F11/E11,0)</f>
        <v>2.4</v>
      </c>
      <c r="H11" s="19"/>
      <c r="I11" s="20"/>
      <c r="J11" s="21" t="str">
        <f>IF(OR(H11="",I11=""),"",I11/H11)</f>
        <v/>
      </c>
      <c r="K11" s="18">
        <v>9.6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23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7">
        <v>4</v>
      </c>
      <c r="F12" s="18">
        <v>9.6</v>
      </c>
      <c r="G12" s="18">
        <f>IFERROR(F12/E12,0)</f>
        <v>2.4</v>
      </c>
      <c r="H12" s="19"/>
      <c r="I12" s="20"/>
      <c r="J12" s="21" t="str">
        <f>IF(OR(H12="",I12=""),"",I12/H12)</f>
        <v/>
      </c>
      <c r="K12" s="18">
        <v>9.6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23" t="s">
        <v>35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7">
        <v>4</v>
      </c>
      <c r="F13" s="18">
        <v>9.6</v>
      </c>
      <c r="G13" s="18">
        <f>IFERROR(F13/E13,0)</f>
        <v>2.4</v>
      </c>
      <c r="H13" s="19"/>
      <c r="I13" s="20"/>
      <c r="J13" s="21" t="str">
        <f>IF(OR(H13="",I13=""),"",I13/H13)</f>
        <v/>
      </c>
      <c r="K13" s="18">
        <v>9.6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23" t="s">
        <v>35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7">
        <v>4</v>
      </c>
      <c r="F14" s="18">
        <v>9.6</v>
      </c>
      <c r="G14" s="18">
        <f>IFERROR(F14/E14,0)</f>
        <v>2.4</v>
      </c>
      <c r="H14" s="19"/>
      <c r="I14" s="20"/>
      <c r="J14" s="21" t="str">
        <f>IF(OR(H14="",I14=""),"",I14/H14)</f>
        <v/>
      </c>
      <c r="K14" s="18">
        <v>9.6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23" t="s">
        <v>35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7">
        <v>4</v>
      </c>
      <c r="F15" s="18">
        <v>9.6</v>
      </c>
      <c r="G15" s="18">
        <f>IFERROR(F15/E15,0)</f>
        <v>2.4</v>
      </c>
      <c r="H15" s="19"/>
      <c r="I15" s="20"/>
      <c r="J15" s="21" t="str">
        <f>IF(OR(H15="",I15=""),"",I15/H15)</f>
        <v/>
      </c>
      <c r="K15" s="18">
        <v>9.6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23" t="s">
        <v>35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7">
        <v>4</v>
      </c>
      <c r="F16" s="18">
        <v>9.6</v>
      </c>
      <c r="G16" s="18">
        <f>IFERROR(F16/E16,0)</f>
        <v>2.4</v>
      </c>
      <c r="H16" s="19"/>
      <c r="I16" s="20"/>
      <c r="J16" s="21" t="str">
        <f>IF(OR(H16="",I16=""),"",I16/H16)</f>
        <v/>
      </c>
      <c r="K16" s="18">
        <v>9.6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23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7">
        <v>4</v>
      </c>
      <c r="F17" s="18">
        <v>9.6</v>
      </c>
      <c r="G17" s="18">
        <f>IFERROR(F17/E17,0)</f>
        <v>2.4</v>
      </c>
      <c r="H17" s="19"/>
      <c r="I17" s="20"/>
      <c r="J17" s="21" t="str">
        <f>IF(OR(H17="",I17=""),"",I17/H17)</f>
        <v/>
      </c>
      <c r="K17" s="18">
        <v>9.6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23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7">
        <v>4</v>
      </c>
      <c r="F18" s="18">
        <v>9.6</v>
      </c>
      <c r="G18" s="18">
        <f>IFERROR(F18/E18,0)</f>
        <v>2.4</v>
      </c>
      <c r="H18" s="19"/>
      <c r="I18" s="20"/>
      <c r="J18" s="21" t="str">
        <f>IF(OR(H18="",I18=""),"",I18/H18)</f>
        <v/>
      </c>
      <c r="K18" s="18">
        <v>9.6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23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7">
        <v>4</v>
      </c>
      <c r="F19" s="18">
        <v>9.6</v>
      </c>
      <c r="G19" s="18">
        <f>IFERROR(F19/E19,0)</f>
        <v>2.4</v>
      </c>
      <c r="H19" s="19"/>
      <c r="I19" s="20"/>
      <c r="J19" s="21" t="str">
        <f>IF(OR(H19="",I19=""),"",I19/H19)</f>
        <v/>
      </c>
      <c r="K19" s="18">
        <v>9.6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23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7">
        <v>4</v>
      </c>
      <c r="F20" s="18">
        <v>9.6</v>
      </c>
      <c r="G20" s="18">
        <f>IFERROR(F20/E20,0)</f>
        <v>2.4</v>
      </c>
      <c r="H20" s="19"/>
      <c r="I20" s="20"/>
      <c r="J20" s="21" t="str">
        <f>IF(OR(H20="",I20=""),"",I20/H20)</f>
        <v/>
      </c>
      <c r="K20" s="18">
        <v>9.6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23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7">
        <v>4</v>
      </c>
      <c r="F21" s="18">
        <v>9.6</v>
      </c>
      <c r="G21" s="18">
        <f>IFERROR(F21/E21,0)</f>
        <v>2.4</v>
      </c>
      <c r="H21" s="19"/>
      <c r="I21" s="20"/>
      <c r="J21" s="21" t="str">
        <f>IF(OR(H21="",I21=""),"",I21/H21)</f>
        <v/>
      </c>
      <c r="K21" s="18">
        <v>9.6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23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7">
        <v>4</v>
      </c>
      <c r="F22" s="18">
        <v>9.6</v>
      </c>
      <c r="G22" s="18">
        <f>IFERROR(F22/E22,0)</f>
        <v>2.4</v>
      </c>
      <c r="H22" s="19"/>
      <c r="I22" s="20"/>
      <c r="J22" s="21" t="str">
        <f>IF(OR(H22="",I22=""),"",I22/H22)</f>
        <v/>
      </c>
      <c r="K22" s="18">
        <v>9.6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23" t="s">
        <v>36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7">
        <v>4</v>
      </c>
      <c r="F23" s="18">
        <v>9.6</v>
      </c>
      <c r="G23" s="18">
        <f>IFERROR(F23/E23,0)</f>
        <v>2.4</v>
      </c>
      <c r="H23" s="19"/>
      <c r="I23" s="20"/>
      <c r="J23" s="21" t="str">
        <f>IF(OR(H23="",I23=""),"",I23/H23)</f>
        <v/>
      </c>
      <c r="K23" s="18">
        <v>9.6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23" t="s">
        <v>36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7">
        <v>4</v>
      </c>
      <c r="F24" s="18">
        <v>9.6</v>
      </c>
      <c r="G24" s="18">
        <f>IFERROR(F24/E24,0)</f>
        <v>2.4</v>
      </c>
      <c r="H24" s="19"/>
      <c r="I24" s="20"/>
      <c r="J24" s="21" t="str">
        <f>IF(OR(H24="",I24=""),"",I24/H24)</f>
        <v/>
      </c>
      <c r="K24" s="18">
        <v>9.6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23" t="s">
        <v>36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9.6</v>
      </c>
      <c r="G25" s="18">
        <f>IFERROR(F25/E25,0)</f>
        <v>2.4</v>
      </c>
      <c r="H25" s="19"/>
      <c r="I25" s="20"/>
      <c r="J25" s="21" t="str">
        <f>IF(OR(H25="",I25=""),"",I25/H25)</f>
        <v/>
      </c>
      <c r="K25" s="18">
        <v>9.6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23" t="s">
        <v>36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7">
        <v>4</v>
      </c>
      <c r="F26" s="18">
        <v>9.6</v>
      </c>
      <c r="G26" s="18">
        <f>IFERROR(F26/E26,0)</f>
        <v>2.4</v>
      </c>
      <c r="H26" s="19"/>
      <c r="I26" s="20"/>
      <c r="J26" s="21" t="str">
        <f>IF(OR(H26="",I26=""),"",I26/H26)</f>
        <v/>
      </c>
      <c r="K26" s="18">
        <v>9.6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23" t="s">
        <v>36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7">
        <v>4</v>
      </c>
      <c r="F27" s="18">
        <v>9.6</v>
      </c>
      <c r="G27" s="18">
        <f>IFERROR(F27/E27,0)</f>
        <v>2.4</v>
      </c>
      <c r="H27" s="19"/>
      <c r="I27" s="20"/>
      <c r="J27" s="21" t="str">
        <f>IF(OR(H27="",I27=""),"",I27/H27)</f>
        <v/>
      </c>
      <c r="K27" s="18">
        <v>9.6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23" t="s">
        <v>36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7">
        <v>4</v>
      </c>
      <c r="F28" s="18">
        <v>9.6</v>
      </c>
      <c r="G28" s="18">
        <f>IFERROR(F28/E28,0)</f>
        <v>2.4</v>
      </c>
      <c r="H28" s="19"/>
      <c r="I28" s="20"/>
      <c r="J28" s="21" t="str">
        <f>IF(OR(H28="",I28=""),"",I28/H28)</f>
        <v/>
      </c>
      <c r="K28" s="18">
        <v>9.6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23" t="s">
        <v>36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7">
        <v>4</v>
      </c>
      <c r="F29" s="18">
        <v>9.6</v>
      </c>
      <c r="G29" s="18">
        <f>IFERROR(F29/E29,0)</f>
        <v>2.4</v>
      </c>
      <c r="H29" s="19"/>
      <c r="I29" s="20"/>
      <c r="J29" s="21" t="str">
        <f>IF(OR(H29="",I29=""),"",I29/H29)</f>
        <v/>
      </c>
      <c r="K29" s="18">
        <v>9.6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23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7">
        <v>4</v>
      </c>
      <c r="F30" s="18">
        <v>9.6</v>
      </c>
      <c r="G30" s="18">
        <f>IFERROR(F30/E30,0)</f>
        <v>2.4</v>
      </c>
      <c r="H30" s="19"/>
      <c r="I30" s="20"/>
      <c r="J30" s="21" t="str">
        <f>IF(OR(H30="",I30=""),"",I30/H30)</f>
        <v/>
      </c>
      <c r="K30" s="18">
        <v>9.6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23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7">
        <v>4</v>
      </c>
      <c r="F31" s="18">
        <v>9.6</v>
      </c>
      <c r="G31" s="18">
        <f>IFERROR(F31/E31,0)</f>
        <v>2.4</v>
      </c>
      <c r="H31" s="19"/>
      <c r="I31" s="20"/>
      <c r="J31" s="21" t="str">
        <f>IF(OR(H31="",I31=""),"",I31/H31)</f>
        <v/>
      </c>
      <c r="K31" s="18">
        <v>9.6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23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7">
        <v>4</v>
      </c>
      <c r="F32" s="18">
        <v>9.6</v>
      </c>
      <c r="G32" s="18">
        <f>IFERROR(F32/E32,0)</f>
        <v>2.4</v>
      </c>
      <c r="H32" s="19"/>
      <c r="I32" s="20"/>
      <c r="J32" s="21" t="str">
        <f>IF(OR(H32="",I32=""),"",I32/H32)</f>
        <v/>
      </c>
      <c r="K32" s="18">
        <v>9.6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23" t="s">
        <v>37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7">
        <v>4</v>
      </c>
      <c r="F33" s="18">
        <v>9.6</v>
      </c>
      <c r="G33" s="18">
        <f>IFERROR(F33/E33,0)</f>
        <v>2.4</v>
      </c>
      <c r="H33" s="19"/>
      <c r="I33" s="20"/>
      <c r="J33" s="21" t="str">
        <f>IF(OR(H33="",I33=""),"",I33/H33)</f>
        <v/>
      </c>
      <c r="K33" s="18">
        <v>9.6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23" t="s">
        <v>37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7">
        <v>4</v>
      </c>
      <c r="F34" s="18">
        <v>9.6</v>
      </c>
      <c r="G34" s="18">
        <f>IFERROR(F34/E34,0)</f>
        <v>2.4</v>
      </c>
      <c r="H34" s="19"/>
      <c r="I34" s="20"/>
      <c r="J34" s="21" t="str">
        <f>IF(OR(H34="",I34=""),"",I34/H34)</f>
        <v/>
      </c>
      <c r="K34" s="18">
        <v>9.6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23" t="s">
        <v>37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7">
        <v>4</v>
      </c>
      <c r="F35" s="18">
        <v>9.6</v>
      </c>
      <c r="G35" s="18">
        <f>IFERROR(F35/E35,0)</f>
        <v>2.4</v>
      </c>
      <c r="H35" s="19"/>
      <c r="I35" s="20"/>
      <c r="J35" s="21" t="str">
        <f>IF(OR(H35="",I35=""),"",I35/H35)</f>
        <v/>
      </c>
      <c r="K35" s="18">
        <v>9.6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23" t="s">
        <v>37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7">
        <v>4</v>
      </c>
      <c r="F36" s="18">
        <v>9.6</v>
      </c>
      <c r="G36" s="18">
        <f>IFERROR(F36/E36,0)</f>
        <v>2.4</v>
      </c>
      <c r="H36" s="19"/>
      <c r="I36" s="20"/>
      <c r="J36" s="21" t="str">
        <f>IF(OR(H36="",I36=""),"",I36/H36)</f>
        <v/>
      </c>
      <c r="K36" s="18">
        <v>9.6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23" t="s">
        <v>37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7">
        <v>4</v>
      </c>
      <c r="F37" s="18">
        <v>9.6</v>
      </c>
      <c r="G37" s="18">
        <f>IFERROR(F37/E37,0)</f>
        <v>2.4</v>
      </c>
      <c r="H37" s="19"/>
      <c r="I37" s="20"/>
      <c r="J37" s="21" t="str">
        <f>IF(OR(H37="",I37=""),"",I37/H37)</f>
        <v/>
      </c>
      <c r="K37" s="18">
        <v>9.6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23" t="s">
        <v>37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7">
        <v>4</v>
      </c>
      <c r="F38" s="18">
        <v>9.6</v>
      </c>
      <c r="G38" s="18">
        <f>IFERROR(F38/E38,0)</f>
        <v>2.4</v>
      </c>
      <c r="H38" s="19"/>
      <c r="I38" s="20"/>
      <c r="J38" s="21" t="str">
        <f>IF(OR(H38="",I38=""),"",I38/H38)</f>
        <v/>
      </c>
      <c r="K38" s="18">
        <v>9.6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23" t="s">
        <v>37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7">
        <v>4</v>
      </c>
      <c r="F39" s="18">
        <v>9.6</v>
      </c>
      <c r="G39" s="18">
        <f>IFERROR(F39/E39,0)</f>
        <v>2.4</v>
      </c>
      <c r="H39" s="19"/>
      <c r="I39" s="20"/>
      <c r="J39" s="21" t="str">
        <f>IF(OR(H39="",I39=""),"",I39/H39)</f>
        <v/>
      </c>
      <c r="K39" s="18">
        <v>9.6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23" t="s">
        <v>37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7">
        <v>4</v>
      </c>
      <c r="F40" s="18">
        <v>9.6</v>
      </c>
      <c r="G40" s="18">
        <f>IFERROR(F40/E40,0)</f>
        <v>2.4</v>
      </c>
      <c r="H40" s="19"/>
      <c r="I40" s="20"/>
      <c r="J40" s="21" t="str">
        <f>IF(OR(H40="",I40=""),"",I40/H40)</f>
        <v/>
      </c>
      <c r="K40" s="18">
        <v>9.6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23" t="s">
        <v>37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7">
        <v>4</v>
      </c>
      <c r="F41" s="18">
        <v>9.6</v>
      </c>
      <c r="G41" s="18">
        <f>IFERROR(F41/E41,0)</f>
        <v>2.4</v>
      </c>
      <c r="H41" s="19"/>
      <c r="I41" s="20"/>
      <c r="J41" s="21" t="str">
        <f>IF(OR(H41="",I41=""),"",I41/H41)</f>
        <v/>
      </c>
      <c r="K41" s="18">
        <v>9.6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23" t="s">
        <v>37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7">
        <v>4</v>
      </c>
      <c r="F42" s="18">
        <v>9.6</v>
      </c>
      <c r="G42" s="18">
        <f>IFERROR(F42/E42,0)</f>
        <v>2.4</v>
      </c>
      <c r="H42" s="19"/>
      <c r="I42" s="20"/>
      <c r="J42" s="21" t="str">
        <f>IF(OR(H42="",I42=""),"",I42/H42)</f>
        <v/>
      </c>
      <c r="K42" s="18">
        <v>9.6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23" t="s">
        <v>38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7">
        <v>4</v>
      </c>
      <c r="F43" s="18">
        <v>9.6</v>
      </c>
      <c r="G43" s="18">
        <f>IFERROR(F43/E43,0)</f>
        <v>2.4</v>
      </c>
      <c r="H43" s="19"/>
      <c r="I43" s="20"/>
      <c r="J43" s="21" t="str">
        <f>IF(OR(H43="",I43=""),"",I43/H43)</f>
        <v/>
      </c>
      <c r="K43" s="18">
        <v>9.6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23" t="s">
        <v>38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7">
        <v>4</v>
      </c>
      <c r="F44" s="18">
        <v>9.6</v>
      </c>
      <c r="G44" s="18">
        <f>IFERROR(F44/E44,0)</f>
        <v>2.4</v>
      </c>
      <c r="H44" s="19"/>
      <c r="I44" s="20"/>
      <c r="J44" s="21" t="str">
        <f>IF(OR(H44="",I44=""),"",I44/H44)</f>
        <v/>
      </c>
      <c r="K44" s="18">
        <v>9.6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23" t="s">
        <v>38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7">
        <v>4</v>
      </c>
      <c r="F45" s="18">
        <v>9.6</v>
      </c>
      <c r="G45" s="18">
        <f>IFERROR(F45/E45,0)</f>
        <v>2.4</v>
      </c>
      <c r="H45" s="19"/>
      <c r="I45" s="20"/>
      <c r="J45" s="21" t="str">
        <f>IF(OR(H45="",I45=""),"",I45/H45)</f>
        <v/>
      </c>
      <c r="K45" s="18">
        <v>9.6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23" t="s">
        <v>38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7">
        <v>4</v>
      </c>
      <c r="F46" s="18">
        <v>9.6</v>
      </c>
      <c r="G46" s="18">
        <f>IFERROR(F46/E46,0)</f>
        <v>2.4</v>
      </c>
      <c r="H46" s="19"/>
      <c r="I46" s="20"/>
      <c r="J46" s="21" t="str">
        <f>IF(OR(H46="",I46=""),"",I46/H46)</f>
        <v/>
      </c>
      <c r="K46" s="18">
        <v>9.6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23" t="s">
        <v>38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7">
        <v>4</v>
      </c>
      <c r="F47" s="18">
        <v>9.6</v>
      </c>
      <c r="G47" s="18">
        <f>IFERROR(F47/E47,0)</f>
        <v>2.4</v>
      </c>
      <c r="H47" s="19"/>
      <c r="I47" s="20"/>
      <c r="J47" s="21" t="str">
        <f>IF(OR(H47="",I47=""),"",I47/H47)</f>
        <v/>
      </c>
      <c r="K47" s="18">
        <v>9.6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23" t="s">
        <v>38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7">
        <v>4</v>
      </c>
      <c r="F48" s="18">
        <v>9.6</v>
      </c>
      <c r="G48" s="18">
        <f>IFERROR(F48/E48,0)</f>
        <v>2.4</v>
      </c>
      <c r="H48" s="19"/>
      <c r="I48" s="20"/>
      <c r="J48" s="21" t="str">
        <f>IF(OR(H48="",I48=""),"",I48/H48)</f>
        <v/>
      </c>
      <c r="K48" s="18">
        <v>9.6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23" t="s">
        <v>38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7">
        <v>4</v>
      </c>
      <c r="F49" s="18">
        <v>9.6</v>
      </c>
      <c r="G49" s="18">
        <f>IFERROR(F49/E49,0)</f>
        <v>2.4</v>
      </c>
      <c r="H49" s="19"/>
      <c r="I49" s="20"/>
      <c r="J49" s="21" t="str">
        <f>IF(OR(H49="",I49=""),"",I49/H49)</f>
        <v/>
      </c>
      <c r="K49" s="18">
        <v>9.6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23" t="s">
        <v>38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7">
        <v>4</v>
      </c>
      <c r="F50" s="18">
        <v>9.6</v>
      </c>
      <c r="G50" s="18">
        <f>IFERROR(F50/E50,0)</f>
        <v>2.4</v>
      </c>
      <c r="H50" s="19"/>
      <c r="I50" s="20"/>
      <c r="J50" s="21" t="str">
        <f>IF(OR(H50="",I50=""),"",I50/H50)</f>
        <v/>
      </c>
      <c r="K50" s="18">
        <v>9.6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23" t="s">
        <v>38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7">
        <v>4</v>
      </c>
      <c r="F51" s="18">
        <v>9.6</v>
      </c>
      <c r="G51" s="18">
        <f>IFERROR(F51/E51,0)</f>
        <v>2.4</v>
      </c>
      <c r="H51" s="19"/>
      <c r="I51" s="20"/>
      <c r="J51" s="21" t="str">
        <f>IF(OR(H51="",I51=""),"",I51/H51)</f>
        <v/>
      </c>
      <c r="K51" s="18">
        <v>9.6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23" t="s">
        <v>38</v>
      </c>
    </row>
  </sheetData>
  <autoFilter ref="A1:P1"/>
  <conditionalFormatting sqref="O2:O51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51">
      <formula1>0</formula1>
      <formula2>4</formula2>
    </dataValidation>
    <dataValidation type="whole" allowBlank="1" showErrorMessage="1" errorTitle="Invalid team size" error="Enter a value from 0 to 4." sqref="H2:H51">
      <formula1>0</formula1>
      <formula2>4</formula2>
    </dataValidation>
    <dataValidation type="decimal" operator="greaterThanOrEqual" allowBlank="1" showErrorMessage="1" errorTitle="Invalid value" error="Actual Total Hours cannot be negative." sqref="I10:I51">
      <formula1>0</formula1>
    </dataValidation>
    <dataValidation type="decimal" operator="greaterThanOrEqual" allowBlank="1" showErrorMessage="1" errorTitle="Invalid value" error="Actual Total Hours cannot be negative." sqref="I2:I51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4" customWidth="1"/>
    <col min="4" max="4" width="15" style="24" customWidth="1"/>
    <col min="5" max="5" width="44" style="24" customWidth="1"/>
    <col min="6" max="6" width="36" style="24" customWidth="1"/>
  </cols>
  <sheetData>
    <row r="1" ht="24" customHeight="1" spans="1:6" x14ac:dyDescent="0.25">
      <c r="A1" s="25" t="s">
        <v>39</v>
      </c>
      <c r="B1" s="25" t="s">
        <v>7</v>
      </c>
      <c r="C1" s="25" t="s">
        <v>40</v>
      </c>
      <c r="D1" s="25" t="s">
        <v>41</v>
      </c>
      <c r="E1" s="25" t="s">
        <v>42</v>
      </c>
      <c r="F1" s="25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12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12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12</v>
      </c>
      <c r="E4" s="3" t="s">
        <v>35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12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12</v>
      </c>
      <c r="E6" s="3" t="s">
        <v>36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12</v>
      </c>
      <c r="E7" s="3" t="s">
        <v>36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12</v>
      </c>
      <c r="E8" s="3" t="s">
        <v>37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12</v>
      </c>
      <c r="E9" s="3" t="s">
        <v>37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12</v>
      </c>
      <c r="E10" s="3" t="s">
        <v>38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12</v>
      </c>
      <c r="E11" s="3" t="s">
        <v>38</v>
      </c>
      <c r="F11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24" customWidth="1"/>
    <col min="3" max="3" width="15" style="24" customWidth="1"/>
    <col min="4" max="4" width="23" style="24" customWidth="1"/>
    <col min="5" max="5" width="20" style="24" customWidth="1"/>
  </cols>
  <sheetData>
    <row r="1" ht="24" customHeight="1" spans="1:5" x14ac:dyDescent="0.25">
      <c r="A1" s="25" t="s">
        <v>66</v>
      </c>
      <c r="B1" s="25" t="s">
        <v>67</v>
      </c>
      <c r="C1" s="25" t="s">
        <v>41</v>
      </c>
      <c r="D1" s="25" t="s">
        <v>68</v>
      </c>
      <c r="E1" s="25" t="s">
        <v>33</v>
      </c>
    </row>
    <row r="2" spans="1:5" x14ac:dyDescent="0.25">
      <c r="A2" s="3" t="s">
        <v>69</v>
      </c>
      <c r="B2" s="3" t="s">
        <v>70</v>
      </c>
      <c r="C2" s="3">
        <v>30</v>
      </c>
      <c r="D2" s="3" t="s">
        <v>71</v>
      </c>
      <c r="E2" s="3" t="s">
        <v>72</v>
      </c>
    </row>
    <row r="3" spans="1:5" x14ac:dyDescent="0.25">
      <c r="A3" s="3" t="s">
        <v>73</v>
      </c>
      <c r="B3" s="3" t="s">
        <v>70</v>
      </c>
      <c r="C3" s="3">
        <v>30</v>
      </c>
      <c r="D3" s="3" t="s">
        <v>74</v>
      </c>
      <c r="E3" s="3" t="s">
        <v>72</v>
      </c>
    </row>
    <row r="4" spans="1:5" x14ac:dyDescent="0.25">
      <c r="A4" s="3" t="s">
        <v>75</v>
      </c>
      <c r="B4" s="3" t="s">
        <v>70</v>
      </c>
      <c r="C4" s="3">
        <v>30</v>
      </c>
      <c r="D4" s="3" t="s">
        <v>76</v>
      </c>
      <c r="E4" s="3" t="s">
        <v>72</v>
      </c>
    </row>
    <row r="5" spans="1:5" x14ac:dyDescent="0.25">
      <c r="A5" s="3" t="s">
        <v>77</v>
      </c>
      <c r="B5" s="3" t="s">
        <v>70</v>
      </c>
      <c r="C5" s="3">
        <v>30</v>
      </c>
      <c r="D5" s="3" t="s">
        <v>78</v>
      </c>
      <c r="E5" s="3" t="s">
        <v>72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24" customWidth="1"/>
    <col min="2" max="3" width="14" style="24" customWidth="1"/>
    <col min="4" max="4" width="32" style="24" customWidth="1"/>
    <col min="5" max="5" width="45" style="24" customWidth="1"/>
  </cols>
  <sheetData>
    <row r="1" ht="24" customHeight="1" spans="1:5" x14ac:dyDescent="0.25">
      <c r="A1" s="25" t="s">
        <v>79</v>
      </c>
      <c r="B1" s="25" t="s">
        <v>80</v>
      </c>
      <c r="C1" s="25" t="s">
        <v>81</v>
      </c>
      <c r="D1" s="25" t="s">
        <v>82</v>
      </c>
      <c r="E1" s="25" t="s">
        <v>83</v>
      </c>
    </row>
    <row r="2" spans="1:5" x14ac:dyDescent="0.25">
      <c r="A2" s="3" t="s">
        <v>84</v>
      </c>
      <c r="B2" s="3" t="s">
        <v>48</v>
      </c>
      <c r="C2" s="3" t="s">
        <v>69</v>
      </c>
      <c r="D2" s="3" t="s">
        <v>85</v>
      </c>
      <c r="E2" s="3" t="s">
        <v>86</v>
      </c>
    </row>
    <row r="3" spans="1:5" x14ac:dyDescent="0.25">
      <c r="A3" s="3" t="s">
        <v>87</v>
      </c>
      <c r="B3" s="3" t="s">
        <v>53</v>
      </c>
      <c r="C3" s="3" t="s">
        <v>73</v>
      </c>
      <c r="D3" s="3" t="s">
        <v>84</v>
      </c>
      <c r="E3" s="3" t="s">
        <v>88</v>
      </c>
    </row>
    <row r="4" spans="1:5" x14ac:dyDescent="0.25">
      <c r="A4" s="3" t="s">
        <v>89</v>
      </c>
      <c r="B4" s="3" t="s">
        <v>57</v>
      </c>
      <c r="C4" s="3" t="s">
        <v>75</v>
      </c>
      <c r="D4" s="3" t="s">
        <v>87</v>
      </c>
      <c r="E4" s="3" t="s">
        <v>90</v>
      </c>
    </row>
    <row r="5" spans="1:5" x14ac:dyDescent="0.25">
      <c r="A5" s="3" t="s">
        <v>91</v>
      </c>
      <c r="B5" s="3" t="s">
        <v>61</v>
      </c>
      <c r="C5" s="3" t="s">
        <v>77</v>
      </c>
      <c r="D5" s="3" t="s">
        <v>89</v>
      </c>
      <c r="E5" s="3" t="s">
        <v>92</v>
      </c>
    </row>
    <row r="6" spans="1:5" x14ac:dyDescent="0.25">
      <c r="A6" s="3" t="s">
        <v>93</v>
      </c>
      <c r="B6" s="3" t="s">
        <v>65</v>
      </c>
      <c r="C6" s="3" t="s">
        <v>94</v>
      </c>
      <c r="D6" s="3" t="s">
        <v>91</v>
      </c>
      <c r="E6" s="3" t="s">
        <v>95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24" customWidth="1"/>
    <col min="2" max="2" width="14" style="24" customWidth="1"/>
    <col min="3" max="3" width="45" style="24" customWidth="1"/>
    <col min="4" max="4" width="14" style="24" customWidth="1"/>
    <col min="5" max="5" width="45" style="24" customWidth="1"/>
  </cols>
  <sheetData>
    <row r="1" ht="24" customHeight="1" spans="1:5" x14ac:dyDescent="0.25">
      <c r="A1" s="25" t="s">
        <v>96</v>
      </c>
      <c r="B1" s="25" t="s">
        <v>19</v>
      </c>
      <c r="C1" s="25" t="s">
        <v>97</v>
      </c>
      <c r="D1" s="25" t="s">
        <v>81</v>
      </c>
      <c r="E1" s="25" t="s">
        <v>98</v>
      </c>
    </row>
    <row r="2" spans="1:5" x14ac:dyDescent="0.25">
      <c r="A2" s="3" t="s">
        <v>99</v>
      </c>
      <c r="B2" s="3" t="s">
        <v>45</v>
      </c>
      <c r="C2" s="3" t="s">
        <v>100</v>
      </c>
      <c r="D2" s="3" t="s">
        <v>94</v>
      </c>
      <c r="E2" s="3" t="s">
        <v>101</v>
      </c>
    </row>
    <row r="3" spans="1:5" x14ac:dyDescent="0.25">
      <c r="A3" s="3" t="s">
        <v>102</v>
      </c>
      <c r="B3" s="3" t="s">
        <v>48</v>
      </c>
      <c r="C3" s="3" t="s">
        <v>100</v>
      </c>
      <c r="D3" s="3" t="s">
        <v>94</v>
      </c>
      <c r="E3" s="3" t="s">
        <v>101</v>
      </c>
    </row>
    <row r="4" spans="1:5" x14ac:dyDescent="0.25">
      <c r="A4" s="3" t="s">
        <v>103</v>
      </c>
      <c r="B4" s="3" t="s">
        <v>51</v>
      </c>
      <c r="C4" s="3" t="s">
        <v>100</v>
      </c>
      <c r="D4" s="3" t="s">
        <v>94</v>
      </c>
      <c r="E4" s="3" t="s">
        <v>101</v>
      </c>
    </row>
    <row r="5" spans="1:5" x14ac:dyDescent="0.25">
      <c r="A5" s="3" t="s">
        <v>104</v>
      </c>
      <c r="B5" s="3" t="s">
        <v>53</v>
      </c>
      <c r="C5" s="3" t="s">
        <v>100</v>
      </c>
      <c r="D5" s="3" t="s">
        <v>94</v>
      </c>
      <c r="E5" s="3" t="s">
        <v>101</v>
      </c>
    </row>
    <row r="6" spans="1:5" x14ac:dyDescent="0.25">
      <c r="A6" s="3" t="s">
        <v>105</v>
      </c>
      <c r="B6" s="3" t="s">
        <v>55</v>
      </c>
      <c r="C6" s="3" t="s">
        <v>100</v>
      </c>
      <c r="D6" s="3" t="s">
        <v>94</v>
      </c>
      <c r="E6" s="3" t="s">
        <v>101</v>
      </c>
    </row>
    <row r="7" spans="1:5" x14ac:dyDescent="0.25">
      <c r="A7" s="3" t="s">
        <v>106</v>
      </c>
      <c r="B7" s="3" t="s">
        <v>57</v>
      </c>
      <c r="C7" s="3" t="s">
        <v>100</v>
      </c>
      <c r="D7" s="3" t="s">
        <v>94</v>
      </c>
      <c r="E7" s="3" t="s">
        <v>101</v>
      </c>
    </row>
    <row r="8" spans="1:5" x14ac:dyDescent="0.25">
      <c r="A8" s="3" t="s">
        <v>107</v>
      </c>
      <c r="B8" s="3" t="s">
        <v>59</v>
      </c>
      <c r="C8" s="3" t="s">
        <v>100</v>
      </c>
      <c r="D8" s="3" t="s">
        <v>94</v>
      </c>
      <c r="E8" s="3" t="s">
        <v>101</v>
      </c>
    </row>
    <row r="9" spans="1:5" x14ac:dyDescent="0.25">
      <c r="A9" s="3" t="s">
        <v>108</v>
      </c>
      <c r="B9" s="3" t="s">
        <v>61</v>
      </c>
      <c r="C9" s="3" t="s">
        <v>100</v>
      </c>
      <c r="D9" s="3" t="s">
        <v>94</v>
      </c>
      <c r="E9" s="3" t="s">
        <v>101</v>
      </c>
    </row>
    <row r="10" spans="1:5" x14ac:dyDescent="0.25">
      <c r="A10" s="3" t="s">
        <v>109</v>
      </c>
      <c r="B10" s="3" t="s">
        <v>63</v>
      </c>
      <c r="C10" s="3" t="s">
        <v>100</v>
      </c>
      <c r="D10" s="3" t="s">
        <v>94</v>
      </c>
      <c r="E10" s="3" t="s">
        <v>101</v>
      </c>
    </row>
    <row r="11" spans="1:5" x14ac:dyDescent="0.25">
      <c r="A11" s="3" t="s">
        <v>110</v>
      </c>
      <c r="B11" s="3" t="s">
        <v>65</v>
      </c>
      <c r="C11" s="3" t="s">
        <v>100</v>
      </c>
      <c r="D11" s="3" t="s">
        <v>94</v>
      </c>
      <c r="E11" s="3" t="s">
        <v>101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4" width="45" style="24" customWidth="1"/>
  </cols>
  <sheetData>
    <row r="1" ht="24" customHeight="1" spans="1:4" x14ac:dyDescent="0.25">
      <c r="A1" s="25" t="s">
        <v>111</v>
      </c>
      <c r="B1" s="25" t="s">
        <v>112</v>
      </c>
      <c r="C1" s="25" t="s">
        <v>113</v>
      </c>
      <c r="D1" s="25" t="s">
        <v>114</v>
      </c>
    </row>
    <row r="2" spans="1:4" x14ac:dyDescent="0.25">
      <c r="A2" s="3" t="s">
        <v>115</v>
      </c>
      <c r="B2" s="3" t="s">
        <v>116</v>
      </c>
      <c r="C2" s="3" t="s">
        <v>117</v>
      </c>
      <c r="D2" s="3" t="s">
        <v>118</v>
      </c>
    </row>
    <row r="3" spans="1:4" x14ac:dyDescent="0.25">
      <c r="A3" s="3" t="s">
        <v>115</v>
      </c>
      <c r="B3" s="3" t="s">
        <v>119</v>
      </c>
      <c r="C3" s="3" t="s">
        <v>120</v>
      </c>
      <c r="D3" s="3" t="s">
        <v>121</v>
      </c>
    </row>
    <row r="4" spans="1:4" x14ac:dyDescent="0.25">
      <c r="A4" s="3" t="s">
        <v>122</v>
      </c>
      <c r="B4" s="3" t="s">
        <v>123</v>
      </c>
      <c r="C4" s="3" t="s">
        <v>124</v>
      </c>
      <c r="D4" s="3" t="s">
        <v>125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5" style="24" customWidth="1"/>
    <col min="3" max="7" width="14" style="24" customWidth="1"/>
  </cols>
  <sheetData>
    <row r="1" ht="24" customHeight="1" spans="1:7" x14ac:dyDescent="0.25">
      <c r="A1" s="25" t="s">
        <v>126</v>
      </c>
      <c r="B1" s="25" t="s">
        <v>41</v>
      </c>
      <c r="C1" s="25" t="s">
        <v>29</v>
      </c>
      <c r="D1" s="25" t="s">
        <v>127</v>
      </c>
      <c r="E1" s="25" t="s">
        <v>128</v>
      </c>
      <c r="F1" s="25" t="s">
        <v>32</v>
      </c>
      <c r="G1" s="25" t="s">
        <v>33</v>
      </c>
    </row>
    <row r="2" spans="1:7" x14ac:dyDescent="0.25">
      <c r="A2" s="3" t="s">
        <v>129</v>
      </c>
      <c r="B2" s="3">
        <v>12</v>
      </c>
      <c r="C2" s="3" t="s">
        <v>130</v>
      </c>
      <c r="D2" s="3" t="s">
        <v>130</v>
      </c>
      <c r="E2" s="3" t="s">
        <v>130</v>
      </c>
      <c r="F2" s="3" t="s">
        <v>131</v>
      </c>
      <c r="G2" s="3" t="s">
        <v>130</v>
      </c>
    </row>
    <row r="3" spans="1:7" x14ac:dyDescent="0.25">
      <c r="A3" s="3" t="s">
        <v>132</v>
      </c>
      <c r="B3" s="3">
        <v>12</v>
      </c>
      <c r="C3" s="3" t="s">
        <v>130</v>
      </c>
      <c r="D3" s="3" t="s">
        <v>130</v>
      </c>
      <c r="E3" s="3" t="s">
        <v>130</v>
      </c>
      <c r="F3" s="3" t="s">
        <v>131</v>
      </c>
      <c r="G3" s="3" t="s">
        <v>130</v>
      </c>
    </row>
    <row r="4" spans="1:7" x14ac:dyDescent="0.25">
      <c r="A4" s="3" t="s">
        <v>133</v>
      </c>
      <c r="B4" s="3">
        <v>12</v>
      </c>
      <c r="C4" s="3" t="s">
        <v>130</v>
      </c>
      <c r="D4" s="3" t="s">
        <v>130</v>
      </c>
      <c r="E4" s="3" t="s">
        <v>130</v>
      </c>
      <c r="F4" s="3" t="s">
        <v>131</v>
      </c>
      <c r="G4" s="3" t="s">
        <v>130</v>
      </c>
    </row>
    <row r="5" spans="1:7" x14ac:dyDescent="0.25">
      <c r="A5" s="3" t="s">
        <v>134</v>
      </c>
      <c r="B5" s="3">
        <v>12</v>
      </c>
      <c r="C5" s="3" t="s">
        <v>130</v>
      </c>
      <c r="D5" s="3" t="s">
        <v>130</v>
      </c>
      <c r="E5" s="3" t="s">
        <v>130</v>
      </c>
      <c r="F5" s="3" t="s">
        <v>131</v>
      </c>
      <c r="G5" s="3" t="s">
        <v>130</v>
      </c>
    </row>
    <row r="6" spans="1:7" x14ac:dyDescent="0.25">
      <c r="A6" s="3" t="s">
        <v>135</v>
      </c>
      <c r="B6" s="3">
        <v>12</v>
      </c>
      <c r="C6" s="3" t="s">
        <v>130</v>
      </c>
      <c r="D6" s="3" t="s">
        <v>130</v>
      </c>
      <c r="E6" s="3" t="s">
        <v>130</v>
      </c>
      <c r="F6" s="3" t="s">
        <v>131</v>
      </c>
      <c r="G6" s="3" t="s">
        <v>130</v>
      </c>
    </row>
    <row r="7" spans="1:7" x14ac:dyDescent="0.25">
      <c r="A7" s="3" t="s">
        <v>136</v>
      </c>
      <c r="B7" s="3">
        <v>12</v>
      </c>
      <c r="C7" s="3" t="s">
        <v>130</v>
      </c>
      <c r="D7" s="3" t="s">
        <v>130</v>
      </c>
      <c r="E7" s="3" t="s">
        <v>130</v>
      </c>
      <c r="F7" s="3" t="s">
        <v>131</v>
      </c>
      <c r="G7" s="3" t="s">
        <v>130</v>
      </c>
    </row>
    <row r="8" spans="1:7" x14ac:dyDescent="0.25">
      <c r="A8" s="3" t="s">
        <v>137</v>
      </c>
      <c r="B8" s="3">
        <v>12</v>
      </c>
      <c r="C8" s="3" t="s">
        <v>130</v>
      </c>
      <c r="D8" s="3" t="s">
        <v>130</v>
      </c>
      <c r="E8" s="3" t="s">
        <v>130</v>
      </c>
      <c r="F8" s="3" t="s">
        <v>131</v>
      </c>
      <c r="G8" s="3" t="s">
        <v>130</v>
      </c>
    </row>
    <row r="9" spans="1:7" x14ac:dyDescent="0.25">
      <c r="A9" s="3" t="s">
        <v>138</v>
      </c>
      <c r="B9" s="3">
        <v>12</v>
      </c>
      <c r="C9" s="3" t="s">
        <v>130</v>
      </c>
      <c r="D9" s="3" t="s">
        <v>130</v>
      </c>
      <c r="E9" s="3" t="s">
        <v>130</v>
      </c>
      <c r="F9" s="3" t="s">
        <v>131</v>
      </c>
      <c r="G9" s="3" t="s">
        <v>130</v>
      </c>
    </row>
    <row r="10" spans="1:7" x14ac:dyDescent="0.25">
      <c r="A10" s="3" t="s">
        <v>139</v>
      </c>
      <c r="B10" s="3">
        <v>12</v>
      </c>
      <c r="C10" s="3" t="s">
        <v>130</v>
      </c>
      <c r="D10" s="3" t="s">
        <v>130</v>
      </c>
      <c r="E10" s="3" t="s">
        <v>130</v>
      </c>
      <c r="F10" s="3" t="s">
        <v>131</v>
      </c>
      <c r="G10" s="3" t="s">
        <v>130</v>
      </c>
    </row>
    <row r="11" spans="1:7" x14ac:dyDescent="0.25">
      <c r="A11" s="3" t="s">
        <v>140</v>
      </c>
      <c r="B11" s="3">
        <v>12</v>
      </c>
      <c r="C11" s="3" t="s">
        <v>130</v>
      </c>
      <c r="D11" s="3" t="s">
        <v>130</v>
      </c>
      <c r="E11" s="3" t="s">
        <v>130</v>
      </c>
      <c r="F11" s="3" t="s">
        <v>131</v>
      </c>
      <c r="G11" s="3" t="s">
        <v>130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24" customWidth="1"/>
    <col min="2" max="2" width="15" style="24" customWidth="1"/>
  </cols>
  <sheetData>
    <row r="1" ht="24" customHeight="1" spans="1:2" x14ac:dyDescent="0.25">
      <c r="A1" s="25" t="s">
        <v>141</v>
      </c>
      <c r="B1" s="25" t="s">
        <v>142</v>
      </c>
    </row>
    <row r="2" spans="1:2" x14ac:dyDescent="0.25">
      <c r="A2" s="3" t="s">
        <v>143</v>
      </c>
      <c r="B2" s="3" t="s">
        <v>144</v>
      </c>
    </row>
    <row r="3" spans="1:2" x14ac:dyDescent="0.25">
      <c r="A3" s="3" t="s">
        <v>145</v>
      </c>
      <c r="B3" s="3" t="s">
        <v>146</v>
      </c>
    </row>
    <row r="4" spans="1:2" x14ac:dyDescent="0.25">
      <c r="A4" s="3" t="s">
        <v>147</v>
      </c>
      <c r="B4" s="3" t="s">
        <v>44</v>
      </c>
    </row>
    <row r="5" spans="1:2" x14ac:dyDescent="0.25">
      <c r="A5" s="3" t="s">
        <v>148</v>
      </c>
      <c r="B5" s="3" t="s">
        <v>65</v>
      </c>
    </row>
    <row r="6" spans="1:2" x14ac:dyDescent="0.25">
      <c r="A6" s="3" t="s">
        <v>149</v>
      </c>
      <c r="B6" s="3">
        <v>120</v>
      </c>
    </row>
    <row r="7" spans="1:2" x14ac:dyDescent="0.25">
      <c r="A7" s="3" t="s">
        <v>150</v>
      </c>
      <c r="B7" s="3">
        <v>4</v>
      </c>
    </row>
    <row r="8" spans="1:2" x14ac:dyDescent="0.25">
      <c r="A8" s="3" t="s">
        <v>151</v>
      </c>
      <c r="B8" s="3" t="s">
        <v>10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4" customWidth="1"/>
    <col min="2" max="2" width="15" style="24" customWidth="1"/>
  </cols>
  <sheetData>
    <row r="1" ht="24" customHeight="1" spans="1:2" x14ac:dyDescent="0.25">
      <c r="A1" s="25" t="s">
        <v>152</v>
      </c>
      <c r="B1" s="25" t="s">
        <v>142</v>
      </c>
    </row>
    <row r="2" spans="1:2" x14ac:dyDescent="0.25">
      <c r="A2" s="3" t="s">
        <v>153</v>
      </c>
      <c r="B2" s="3" t="s">
        <v>144</v>
      </c>
    </row>
    <row r="3" spans="1:2" x14ac:dyDescent="0.25">
      <c r="A3" s="3" t="s">
        <v>145</v>
      </c>
      <c r="B3" s="3" t="s">
        <v>146</v>
      </c>
    </row>
    <row r="4" spans="1:2" x14ac:dyDescent="0.25">
      <c r="A4" s="3" t="s">
        <v>154</v>
      </c>
      <c r="B4" s="3" t="s">
        <v>155</v>
      </c>
    </row>
    <row r="5" spans="1:2" x14ac:dyDescent="0.25">
      <c r="A5" s="3" t="s">
        <v>156</v>
      </c>
      <c r="B5" s="3" t="s">
        <v>157</v>
      </c>
    </row>
    <row r="6" spans="1:2" x14ac:dyDescent="0.25">
      <c r="A6" s="3" t="s">
        <v>158</v>
      </c>
      <c r="B6" s="3" t="s">
        <v>159</v>
      </c>
    </row>
    <row r="7" spans="1:2" x14ac:dyDescent="0.25">
      <c r="A7" s="3" t="s">
        <v>160</v>
      </c>
      <c r="B7" s="3" t="s">
        <v>130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4" customWidth="1"/>
    <col min="2" max="2" width="45" style="24" customWidth="1"/>
    <col min="3" max="4" width="14" style="24" customWidth="1"/>
  </cols>
  <sheetData>
    <row r="1" ht="24" customHeight="1" spans="1:4" x14ac:dyDescent="0.25">
      <c r="A1" s="25" t="s">
        <v>141</v>
      </c>
      <c r="B1" s="25" t="s">
        <v>161</v>
      </c>
      <c r="C1" s="25" t="s">
        <v>142</v>
      </c>
      <c r="D1" s="25" t="s">
        <v>162</v>
      </c>
    </row>
    <row r="2" spans="1:4" x14ac:dyDescent="0.25">
      <c r="A2" s="3" t="s">
        <v>163</v>
      </c>
      <c r="B2" s="3" t="s">
        <v>164</v>
      </c>
      <c r="C2" s="3">
        <v>1600</v>
      </c>
      <c r="D2" s="3" t="s">
        <v>146</v>
      </c>
    </row>
    <row r="3" spans="1:4" x14ac:dyDescent="0.25">
      <c r="A3" s="3" t="s">
        <v>165</v>
      </c>
      <c r="B3" s="3" t="s">
        <v>166</v>
      </c>
      <c r="C3" s="3">
        <v>120</v>
      </c>
      <c r="D3" s="3" t="s">
        <v>146</v>
      </c>
    </row>
    <row r="4" spans="1:4" x14ac:dyDescent="0.25">
      <c r="A4" s="3" t="s">
        <v>167</v>
      </c>
      <c r="B4" s="3" t="s">
        <v>168</v>
      </c>
      <c r="C4" s="3">
        <v>105.6</v>
      </c>
      <c r="D4" s="3" t="s">
        <v>146</v>
      </c>
    </row>
    <row r="5" spans="1:4" x14ac:dyDescent="0.25">
      <c r="A5" s="3" t="s">
        <v>169</v>
      </c>
      <c r="B5" s="3" t="s">
        <v>170</v>
      </c>
      <c r="C5" s="3">
        <v>14.4</v>
      </c>
      <c r="D5" s="3" t="s">
        <v>146</v>
      </c>
    </row>
    <row r="6" spans="1:4" x14ac:dyDescent="0.25">
      <c r="A6" s="3" t="s">
        <v>171</v>
      </c>
      <c r="B6" s="3" t="s">
        <v>172</v>
      </c>
      <c r="C6" s="3">
        <v>7.5</v>
      </c>
      <c r="D6" s="3" t="s">
        <v>173</v>
      </c>
    </row>
    <row r="7" spans="1:4" x14ac:dyDescent="0.25">
      <c r="A7" s="3" t="s">
        <v>174</v>
      </c>
      <c r="B7" s="3" t="s">
        <v>175</v>
      </c>
      <c r="C7" s="3">
        <v>1480</v>
      </c>
      <c r="D7" s="3" t="s">
        <v>146</v>
      </c>
    </row>
    <row r="8" spans="1:4" x14ac:dyDescent="0.25">
      <c r="A8" s="3" t="s">
        <v>176</v>
      </c>
      <c r="B8" s="3" t="s">
        <v>177</v>
      </c>
      <c r="C8" s="3">
        <v>2.4</v>
      </c>
      <c r="D8" s="3" t="s">
        <v>146</v>
      </c>
    </row>
    <row r="9" spans="1:4" x14ac:dyDescent="0.25">
      <c r="A9" s="3" t="s">
        <v>178</v>
      </c>
      <c r="B9" s="3" t="s">
        <v>179</v>
      </c>
      <c r="C9" s="3">
        <v>0.6</v>
      </c>
      <c r="D9" s="3" t="s">
        <v>146</v>
      </c>
    </row>
    <row r="10" spans="1:4" x14ac:dyDescent="0.25">
      <c r="A10" s="3" t="s">
        <v>156</v>
      </c>
      <c r="B10" s="3" t="s">
        <v>180</v>
      </c>
      <c r="C10" s="3" t="s">
        <v>157</v>
      </c>
      <c r="D10" s="3" t="s">
        <v>181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3" style="24" customWidth="1"/>
    <col min="3" max="3" width="45" style="24" customWidth="1"/>
    <col min="4" max="4" width="14" style="24" customWidth="1"/>
    <col min="5" max="5" width="43" style="24" customWidth="1"/>
    <col min="6" max="6" width="36" style="24" customWidth="1"/>
    <col min="7" max="7" width="15" style="24" customWidth="1"/>
    <col min="8" max="8" width="14" style="24" customWidth="1"/>
    <col min="9" max="9" width="17" style="24" customWidth="1"/>
    <col min="10" max="10" width="14" style="24" customWidth="1"/>
    <col min="11" max="11" width="45" style="24" customWidth="1"/>
  </cols>
  <sheetData>
    <row r="1" ht="24" customHeight="1" spans="1:11" x14ac:dyDescent="0.25">
      <c r="A1" s="25" t="s">
        <v>182</v>
      </c>
      <c r="B1" s="25" t="s">
        <v>183</v>
      </c>
      <c r="C1" s="25" t="s">
        <v>184</v>
      </c>
      <c r="D1" s="25" t="s">
        <v>185</v>
      </c>
      <c r="E1" s="25" t="s">
        <v>186</v>
      </c>
      <c r="F1" s="25" t="s">
        <v>187</v>
      </c>
      <c r="G1" s="25" t="s">
        <v>188</v>
      </c>
      <c r="H1" s="25" t="s">
        <v>189</v>
      </c>
      <c r="I1" s="25" t="s">
        <v>190</v>
      </c>
      <c r="J1" s="25" t="s">
        <v>191</v>
      </c>
      <c r="K1" s="25" t="s">
        <v>192</v>
      </c>
    </row>
    <row r="2" spans="1:11" x14ac:dyDescent="0.25">
      <c r="A2" s="3" t="s">
        <v>193</v>
      </c>
      <c r="B2" s="3" t="s">
        <v>71</v>
      </c>
      <c r="C2" s="3" t="s">
        <v>86</v>
      </c>
      <c r="D2" s="3" t="s">
        <v>70</v>
      </c>
      <c r="E2" s="3" t="s">
        <v>194</v>
      </c>
      <c r="F2" s="3" t="s">
        <v>195</v>
      </c>
      <c r="G2" s="3" t="s">
        <v>44</v>
      </c>
      <c r="H2" s="3" t="s">
        <v>48</v>
      </c>
      <c r="I2" s="3">
        <v>24</v>
      </c>
      <c r="J2" s="3" t="s">
        <v>130</v>
      </c>
      <c r="K2" s="3" t="s">
        <v>86</v>
      </c>
    </row>
    <row r="3" spans="1:11" x14ac:dyDescent="0.25">
      <c r="A3" s="3" t="s">
        <v>196</v>
      </c>
      <c r="B3" s="3" t="s">
        <v>74</v>
      </c>
      <c r="C3" s="3" t="s">
        <v>88</v>
      </c>
      <c r="D3" s="3" t="s">
        <v>70</v>
      </c>
      <c r="E3" s="3" t="s">
        <v>197</v>
      </c>
      <c r="F3" s="3" t="s">
        <v>198</v>
      </c>
      <c r="G3" s="3" t="s">
        <v>50</v>
      </c>
      <c r="H3" s="3" t="s">
        <v>53</v>
      </c>
      <c r="I3" s="3">
        <v>24</v>
      </c>
      <c r="J3" s="3" t="s">
        <v>193</v>
      </c>
      <c r="K3" s="3" t="s">
        <v>88</v>
      </c>
    </row>
    <row r="4" spans="1:11" x14ac:dyDescent="0.25">
      <c r="A4" s="3" t="s">
        <v>199</v>
      </c>
      <c r="B4" s="3" t="s">
        <v>76</v>
      </c>
      <c r="C4" s="3" t="s">
        <v>90</v>
      </c>
      <c r="D4" s="3" t="s">
        <v>70</v>
      </c>
      <c r="E4" s="3" t="s">
        <v>200</v>
      </c>
      <c r="F4" s="3" t="s">
        <v>201</v>
      </c>
      <c r="G4" s="3" t="s">
        <v>54</v>
      </c>
      <c r="H4" s="3" t="s">
        <v>57</v>
      </c>
      <c r="I4" s="3">
        <v>24</v>
      </c>
      <c r="J4" s="3" t="s">
        <v>196</v>
      </c>
      <c r="K4" s="3" t="s">
        <v>90</v>
      </c>
    </row>
    <row r="5" spans="1:11" x14ac:dyDescent="0.25">
      <c r="A5" s="3" t="s">
        <v>202</v>
      </c>
      <c r="B5" s="3" t="s">
        <v>78</v>
      </c>
      <c r="C5" s="3" t="s">
        <v>92</v>
      </c>
      <c r="D5" s="3" t="s">
        <v>70</v>
      </c>
      <c r="E5" s="3" t="s">
        <v>203</v>
      </c>
      <c r="F5" s="3" t="s">
        <v>204</v>
      </c>
      <c r="G5" s="3" t="s">
        <v>58</v>
      </c>
      <c r="H5" s="3" t="s">
        <v>61</v>
      </c>
      <c r="I5" s="3">
        <v>24</v>
      </c>
      <c r="J5" s="3" t="s">
        <v>199</v>
      </c>
      <c r="K5" s="3" t="s">
        <v>92</v>
      </c>
    </row>
    <row r="6" spans="1:11" x14ac:dyDescent="0.25">
      <c r="A6" s="3" t="s">
        <v>205</v>
      </c>
      <c r="B6" s="3" t="s">
        <v>206</v>
      </c>
      <c r="C6" s="3" t="s">
        <v>95</v>
      </c>
      <c r="D6" s="3" t="s">
        <v>70</v>
      </c>
      <c r="E6" s="3" t="s">
        <v>207</v>
      </c>
      <c r="F6" s="3" t="s">
        <v>208</v>
      </c>
      <c r="G6" s="3" t="s">
        <v>62</v>
      </c>
      <c r="H6" s="3" t="s">
        <v>65</v>
      </c>
      <c r="I6" s="3">
        <v>24</v>
      </c>
      <c r="J6" s="3" t="s">
        <v>202</v>
      </c>
      <c r="K6" s="3" t="s">
        <v>95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4" style="24" customWidth="1"/>
    <col min="3" max="3" width="45" style="24" customWidth="1"/>
    <col min="4" max="4" width="16" style="24" customWidth="1"/>
    <col min="5" max="5" width="18" style="24" customWidth="1"/>
    <col min="6" max="6" width="14" style="24" customWidth="1"/>
    <col min="7" max="7" width="15" style="24" customWidth="1"/>
    <col min="8" max="8" width="14" style="24" customWidth="1"/>
    <col min="9" max="9" width="17" style="24" customWidth="1"/>
    <col min="10" max="10" width="18" style="24" customWidth="1"/>
    <col min="11" max="11" width="17" style="24" customWidth="1"/>
    <col min="12" max="13" width="14" style="24" customWidth="1"/>
    <col min="14" max="14" width="33" style="24" customWidth="1"/>
    <col min="15" max="15" width="45" style="24" customWidth="1"/>
    <col min="16" max="16" width="16" style="24" customWidth="1"/>
  </cols>
  <sheetData>
    <row r="1" ht="24" customHeight="1" spans="1:16" x14ac:dyDescent="0.25">
      <c r="A1" s="25" t="s">
        <v>209</v>
      </c>
      <c r="B1" s="25" t="s">
        <v>210</v>
      </c>
      <c r="C1" s="25" t="s">
        <v>5</v>
      </c>
      <c r="D1" s="25" t="s">
        <v>211</v>
      </c>
      <c r="E1" s="25" t="s">
        <v>212</v>
      </c>
      <c r="F1" s="25" t="s">
        <v>213</v>
      </c>
      <c r="G1" s="25" t="s">
        <v>188</v>
      </c>
      <c r="H1" s="25" t="s">
        <v>189</v>
      </c>
      <c r="I1" s="25" t="s">
        <v>190</v>
      </c>
      <c r="J1" s="25" t="s">
        <v>214</v>
      </c>
      <c r="K1" s="25" t="s">
        <v>215</v>
      </c>
      <c r="L1" s="25" t="s">
        <v>216</v>
      </c>
      <c r="M1" s="25" t="s">
        <v>191</v>
      </c>
      <c r="N1" s="25" t="s">
        <v>217</v>
      </c>
      <c r="O1" s="25" t="s">
        <v>192</v>
      </c>
      <c r="P1" s="25" t="s">
        <v>218</v>
      </c>
    </row>
    <row r="2" spans="1:16" x14ac:dyDescent="0.25">
      <c r="A2" s="3" t="s">
        <v>219</v>
      </c>
      <c r="B2" s="3" t="s">
        <v>34</v>
      </c>
      <c r="C2" s="3" t="s">
        <v>86</v>
      </c>
      <c r="D2" s="3" t="s">
        <v>193</v>
      </c>
      <c r="E2" s="3" t="s">
        <v>70</v>
      </c>
      <c r="F2" s="3" t="s">
        <v>117</v>
      </c>
      <c r="G2" s="3" t="s">
        <v>44</v>
      </c>
      <c r="H2" s="3" t="s">
        <v>48</v>
      </c>
      <c r="I2" s="3">
        <v>24</v>
      </c>
      <c r="J2" s="3">
        <v>24</v>
      </c>
      <c r="K2" s="3" t="s">
        <v>146</v>
      </c>
      <c r="L2" s="3">
        <v>2.4</v>
      </c>
      <c r="M2" s="3" t="s">
        <v>130</v>
      </c>
      <c r="N2" s="3" t="s">
        <v>220</v>
      </c>
      <c r="O2" s="3" t="s">
        <v>86</v>
      </c>
      <c r="P2" s="3" t="s">
        <v>221</v>
      </c>
    </row>
    <row r="3" spans="1:16" x14ac:dyDescent="0.25">
      <c r="A3" s="3" t="s">
        <v>222</v>
      </c>
      <c r="B3" s="3" t="s">
        <v>35</v>
      </c>
      <c r="C3" s="3" t="s">
        <v>88</v>
      </c>
      <c r="D3" s="3" t="s">
        <v>196</v>
      </c>
      <c r="E3" s="3" t="s">
        <v>70</v>
      </c>
      <c r="F3" s="3" t="s">
        <v>117</v>
      </c>
      <c r="G3" s="3" t="s">
        <v>50</v>
      </c>
      <c r="H3" s="3" t="s">
        <v>53</v>
      </c>
      <c r="I3" s="3">
        <v>24</v>
      </c>
      <c r="J3" s="3">
        <v>24</v>
      </c>
      <c r="K3" s="3" t="s">
        <v>146</v>
      </c>
      <c r="L3" s="3">
        <v>2.4</v>
      </c>
      <c r="M3" s="3" t="s">
        <v>219</v>
      </c>
      <c r="N3" s="3" t="s">
        <v>223</v>
      </c>
      <c r="O3" s="3" t="s">
        <v>88</v>
      </c>
      <c r="P3" s="3" t="s">
        <v>221</v>
      </c>
    </row>
    <row r="4" spans="1:16" x14ac:dyDescent="0.25">
      <c r="A4" s="3" t="s">
        <v>224</v>
      </c>
      <c r="B4" s="3" t="s">
        <v>36</v>
      </c>
      <c r="C4" s="3" t="s">
        <v>90</v>
      </c>
      <c r="D4" s="3" t="s">
        <v>199</v>
      </c>
      <c r="E4" s="3" t="s">
        <v>70</v>
      </c>
      <c r="F4" s="3" t="s">
        <v>117</v>
      </c>
      <c r="G4" s="3" t="s">
        <v>54</v>
      </c>
      <c r="H4" s="3" t="s">
        <v>57</v>
      </c>
      <c r="I4" s="3">
        <v>24</v>
      </c>
      <c r="J4" s="3">
        <v>24</v>
      </c>
      <c r="K4" s="3" t="s">
        <v>146</v>
      </c>
      <c r="L4" s="3">
        <v>2.4</v>
      </c>
      <c r="M4" s="3" t="s">
        <v>222</v>
      </c>
      <c r="N4" s="3" t="s">
        <v>225</v>
      </c>
      <c r="O4" s="3" t="s">
        <v>90</v>
      </c>
      <c r="P4" s="3" t="s">
        <v>221</v>
      </c>
    </row>
    <row r="5" spans="1:16" x14ac:dyDescent="0.25">
      <c r="A5" s="3" t="s">
        <v>226</v>
      </c>
      <c r="B5" s="3" t="s">
        <v>37</v>
      </c>
      <c r="C5" s="3" t="s">
        <v>92</v>
      </c>
      <c r="D5" s="3" t="s">
        <v>202</v>
      </c>
      <c r="E5" s="3" t="s">
        <v>227</v>
      </c>
      <c r="F5" s="3" t="s">
        <v>117</v>
      </c>
      <c r="G5" s="3" t="s">
        <v>58</v>
      </c>
      <c r="H5" s="3" t="s">
        <v>61</v>
      </c>
      <c r="I5" s="3">
        <v>24</v>
      </c>
      <c r="J5" s="3">
        <v>24</v>
      </c>
      <c r="K5" s="3" t="s">
        <v>146</v>
      </c>
      <c r="L5" s="3">
        <v>2.4</v>
      </c>
      <c r="M5" s="3" t="s">
        <v>224</v>
      </c>
      <c r="N5" s="3" t="s">
        <v>228</v>
      </c>
      <c r="O5" s="3" t="s">
        <v>92</v>
      </c>
      <c r="P5" s="3" t="s">
        <v>221</v>
      </c>
    </row>
    <row r="6" spans="1:16" x14ac:dyDescent="0.25">
      <c r="A6" s="3" t="s">
        <v>229</v>
      </c>
      <c r="B6" s="3" t="s">
        <v>38</v>
      </c>
      <c r="C6" s="3" t="s">
        <v>95</v>
      </c>
      <c r="D6" s="3" t="s">
        <v>205</v>
      </c>
      <c r="E6" s="3" t="s">
        <v>227</v>
      </c>
      <c r="F6" s="3" t="s">
        <v>120</v>
      </c>
      <c r="G6" s="3" t="s">
        <v>62</v>
      </c>
      <c r="H6" s="3" t="s">
        <v>65</v>
      </c>
      <c r="I6" s="3">
        <v>24</v>
      </c>
      <c r="J6" s="3">
        <v>24</v>
      </c>
      <c r="K6" s="3" t="s">
        <v>146</v>
      </c>
      <c r="L6" s="3">
        <v>2.4</v>
      </c>
      <c r="M6" s="3" t="s">
        <v>226</v>
      </c>
      <c r="N6" s="3" t="s">
        <v>230</v>
      </c>
      <c r="O6" s="3" t="s">
        <v>95</v>
      </c>
      <c r="P6" s="3" t="s">
        <v>221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4" customWidth="1"/>
    <col min="2" max="3" width="45" style="24" customWidth="1"/>
    <col min="4" max="4" width="15" style="24" customWidth="1"/>
  </cols>
  <sheetData>
    <row r="1" ht="24" customHeight="1" spans="1:4" x14ac:dyDescent="0.25">
      <c r="A1" s="25" t="s">
        <v>231</v>
      </c>
      <c r="B1" s="25" t="s">
        <v>232</v>
      </c>
      <c r="C1" s="25" t="s">
        <v>233</v>
      </c>
      <c r="D1" s="25" t="s">
        <v>41</v>
      </c>
    </row>
    <row r="2" spans="1:4" x14ac:dyDescent="0.25">
      <c r="A2" s="3" t="s">
        <v>234</v>
      </c>
      <c r="B2" s="3" t="s">
        <v>235</v>
      </c>
      <c r="C2" s="3" t="s">
        <v>236</v>
      </c>
      <c r="D2" s="3">
        <v>14.4</v>
      </c>
    </row>
    <row r="3" spans="1:4" x14ac:dyDescent="0.25">
      <c r="A3" s="3" t="s">
        <v>237</v>
      </c>
      <c r="B3" s="3" t="s">
        <v>238</v>
      </c>
      <c r="C3" s="3" t="s">
        <v>239</v>
      </c>
      <c r="D3" s="3">
        <v>5.04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5" style="24" customWidth="1"/>
    <col min="3" max="6" width="14" style="24" customWidth="1"/>
    <col min="7" max="9" width="45" style="24" customWidth="1"/>
    <col min="10" max="10" width="14" style="24" customWidth="1"/>
  </cols>
  <sheetData>
    <row r="1" ht="24" customHeight="1" spans="1:10" x14ac:dyDescent="0.25">
      <c r="A1" s="25" t="s">
        <v>240</v>
      </c>
      <c r="B1" s="25" t="s">
        <v>5</v>
      </c>
      <c r="C1" s="25" t="s">
        <v>241</v>
      </c>
      <c r="D1" s="25" t="s">
        <v>242</v>
      </c>
      <c r="E1" s="25" t="s">
        <v>113</v>
      </c>
      <c r="F1" s="25" t="s">
        <v>243</v>
      </c>
      <c r="G1" s="25" t="s">
        <v>244</v>
      </c>
      <c r="H1" s="25" t="s">
        <v>245</v>
      </c>
      <c r="I1" s="25" t="s">
        <v>246</v>
      </c>
      <c r="J1" s="25" t="s">
        <v>185</v>
      </c>
    </row>
    <row r="2" spans="1:10" x14ac:dyDescent="0.25">
      <c r="A2" s="3" t="s">
        <v>247</v>
      </c>
      <c r="B2" s="3" t="s">
        <v>116</v>
      </c>
      <c r="C2" s="3" t="s">
        <v>144</v>
      </c>
      <c r="D2" s="3" t="s">
        <v>117</v>
      </c>
      <c r="E2" s="3" t="s">
        <v>117</v>
      </c>
      <c r="F2" s="3" t="s">
        <v>248</v>
      </c>
      <c r="G2" s="3" t="s">
        <v>249</v>
      </c>
      <c r="H2" s="3" t="s">
        <v>118</v>
      </c>
      <c r="I2" s="3" t="s">
        <v>250</v>
      </c>
      <c r="J2" s="3" t="s">
        <v>94</v>
      </c>
    </row>
    <row r="3" spans="1:10" x14ac:dyDescent="0.25">
      <c r="A3" s="3" t="s">
        <v>251</v>
      </c>
      <c r="B3" s="3" t="s">
        <v>119</v>
      </c>
      <c r="C3" s="3" t="s">
        <v>144</v>
      </c>
      <c r="D3" s="3" t="s">
        <v>117</v>
      </c>
      <c r="E3" s="3" t="s">
        <v>120</v>
      </c>
      <c r="F3" s="3" t="s">
        <v>120</v>
      </c>
      <c r="G3" s="3" t="s">
        <v>249</v>
      </c>
      <c r="H3" s="3" t="s">
        <v>121</v>
      </c>
      <c r="I3" s="3" t="s">
        <v>250</v>
      </c>
      <c r="J3" s="3" t="s">
        <v>94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7" style="24" customWidth="1"/>
    <col min="3" max="3" width="45" style="24" customWidth="1"/>
    <col min="4" max="4" width="38" style="24" customWidth="1"/>
    <col min="5" max="6" width="14" style="24" customWidth="1"/>
    <col min="7" max="7" width="29" style="24" customWidth="1"/>
    <col min="8" max="8" width="23" style="24" customWidth="1"/>
    <col min="9" max="9" width="19" style="24" customWidth="1"/>
  </cols>
  <sheetData>
    <row r="1" ht="24" customHeight="1" spans="1:9" x14ac:dyDescent="0.25">
      <c r="A1" s="25" t="s">
        <v>252</v>
      </c>
      <c r="B1" s="25" t="s">
        <v>253</v>
      </c>
      <c r="C1" s="25" t="s">
        <v>5</v>
      </c>
      <c r="D1" s="25" t="s">
        <v>161</v>
      </c>
      <c r="E1" s="25" t="s">
        <v>162</v>
      </c>
      <c r="F1" s="25" t="s">
        <v>233</v>
      </c>
      <c r="G1" s="25" t="s">
        <v>254</v>
      </c>
      <c r="H1" s="25" t="s">
        <v>255</v>
      </c>
      <c r="I1" s="25" t="s">
        <v>256</v>
      </c>
    </row>
    <row r="2" spans="1:9" x14ac:dyDescent="0.25">
      <c r="A2" s="3" t="s">
        <v>257</v>
      </c>
      <c r="B2" s="3" t="s">
        <v>258</v>
      </c>
      <c r="C2" s="3" t="s">
        <v>259</v>
      </c>
      <c r="D2" s="3" t="s">
        <v>260</v>
      </c>
      <c r="E2" s="3" t="s">
        <v>146</v>
      </c>
      <c r="F2" s="3">
        <v>120</v>
      </c>
      <c r="G2" s="3" t="s">
        <v>261</v>
      </c>
      <c r="H2" s="3" t="s">
        <v>262</v>
      </c>
      <c r="I2" s="3" t="s">
        <v>263</v>
      </c>
    </row>
    <row r="3" spans="1:9" x14ac:dyDescent="0.25">
      <c r="A3" s="3" t="s">
        <v>264</v>
      </c>
      <c r="B3" s="3" t="s">
        <v>265</v>
      </c>
      <c r="C3" s="3" t="s">
        <v>266</v>
      </c>
      <c r="D3" s="3" t="s">
        <v>267</v>
      </c>
      <c r="E3" s="3" t="s">
        <v>173</v>
      </c>
      <c r="F3" s="3">
        <v>7.5</v>
      </c>
      <c r="G3" s="3" t="s">
        <v>268</v>
      </c>
      <c r="H3" s="3" t="s">
        <v>269</v>
      </c>
      <c r="I3" s="3" t="s">
        <v>270</v>
      </c>
    </row>
    <row r="4" spans="1:9" x14ac:dyDescent="0.25">
      <c r="A4" s="3" t="s">
        <v>271</v>
      </c>
      <c r="B4" s="3" t="s">
        <v>272</v>
      </c>
      <c r="C4" s="3" t="s">
        <v>273</v>
      </c>
      <c r="D4" s="3" t="s">
        <v>274</v>
      </c>
      <c r="E4" s="3" t="s">
        <v>146</v>
      </c>
      <c r="F4" s="3">
        <v>14.4</v>
      </c>
      <c r="G4" s="3" t="s">
        <v>275</v>
      </c>
      <c r="H4" s="3" t="s">
        <v>276</v>
      </c>
      <c r="I4" s="3" t="s">
        <v>277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8" style="24" customWidth="1"/>
    <col min="3" max="3" width="14" style="24" customWidth="1"/>
    <col min="4" max="4" width="38" style="24" customWidth="1"/>
    <col min="5" max="5" width="19" style="24" customWidth="1"/>
    <col min="6" max="6" width="16" style="24" customWidth="1"/>
    <col min="7" max="7" width="20" style="24" customWidth="1"/>
    <col min="8" max="8" width="14" style="24" customWidth="1"/>
    <col min="9" max="9" width="45" style="24" customWidth="1"/>
    <col min="10" max="10" width="16" style="24" customWidth="1"/>
  </cols>
  <sheetData>
    <row r="1" ht="24" customHeight="1" spans="1:10" x14ac:dyDescent="0.25">
      <c r="A1" s="25" t="s">
        <v>278</v>
      </c>
      <c r="B1" s="25" t="s">
        <v>279</v>
      </c>
      <c r="C1" s="25" t="s">
        <v>280</v>
      </c>
      <c r="D1" s="25" t="s">
        <v>184</v>
      </c>
      <c r="E1" s="25" t="s">
        <v>281</v>
      </c>
      <c r="F1" s="25" t="s">
        <v>282</v>
      </c>
      <c r="G1" s="25" t="s">
        <v>283</v>
      </c>
      <c r="H1" s="25" t="s">
        <v>284</v>
      </c>
      <c r="I1" s="25" t="s">
        <v>285</v>
      </c>
      <c r="J1" s="25" t="s">
        <v>286</v>
      </c>
    </row>
    <row r="2" spans="1:10" x14ac:dyDescent="0.25">
      <c r="A2" s="3" t="s">
        <v>287</v>
      </c>
      <c r="B2" s="3" t="s">
        <v>288</v>
      </c>
      <c r="C2" s="3" t="s">
        <v>289</v>
      </c>
      <c r="D2" s="3" t="s">
        <v>290</v>
      </c>
      <c r="E2" s="3" t="s">
        <v>263</v>
      </c>
      <c r="F2" s="3" t="s">
        <v>19</v>
      </c>
      <c r="G2" s="3" t="s">
        <v>23</v>
      </c>
      <c r="H2" s="3" t="s">
        <v>291</v>
      </c>
      <c r="I2" s="3" t="s">
        <v>130</v>
      </c>
      <c r="J2" s="3" t="s">
        <v>292</v>
      </c>
    </row>
    <row r="3" spans="1:10" x14ac:dyDescent="0.25">
      <c r="A3" s="3" t="s">
        <v>293</v>
      </c>
      <c r="B3" s="3" t="s">
        <v>294</v>
      </c>
      <c r="C3" s="3" t="s">
        <v>295</v>
      </c>
      <c r="D3" s="3" t="s">
        <v>296</v>
      </c>
      <c r="E3" s="3" t="s">
        <v>270</v>
      </c>
      <c r="F3" s="3" t="s">
        <v>141</v>
      </c>
      <c r="G3" s="3" t="s">
        <v>142</v>
      </c>
      <c r="H3" s="3" t="s">
        <v>297</v>
      </c>
      <c r="I3" s="3" t="s">
        <v>298</v>
      </c>
      <c r="J3" s="3" t="s">
        <v>292</v>
      </c>
    </row>
    <row r="4" spans="1:10" x14ac:dyDescent="0.25">
      <c r="A4" s="3" t="s">
        <v>299</v>
      </c>
      <c r="B4" s="3" t="s">
        <v>300</v>
      </c>
      <c r="C4" s="3" t="s">
        <v>295</v>
      </c>
      <c r="D4" s="3" t="s">
        <v>301</v>
      </c>
      <c r="E4" s="3" t="s">
        <v>302</v>
      </c>
      <c r="F4" s="3" t="s">
        <v>113</v>
      </c>
      <c r="G4" s="3" t="s">
        <v>240</v>
      </c>
      <c r="H4" s="3" t="s">
        <v>303</v>
      </c>
      <c r="I4" s="3" t="s">
        <v>130</v>
      </c>
      <c r="J4" s="3" t="s">
        <v>304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41</v>
      </c>
      <c r="C1" s="15" t="s">
        <v>29</v>
      </c>
      <c r="D1" s="15" t="s">
        <v>127</v>
      </c>
      <c r="E1" s="16" t="s">
        <v>305</v>
      </c>
    </row>
    <row r="2" spans="1:5" x14ac:dyDescent="0.25">
      <c r="A2" s="2" t="s">
        <v>306</v>
      </c>
      <c r="B2" s="21">
        <f>SUMIF('Production Plan'!$C$2:$C$51,A2,'Production Plan'!$F$2:$F$51)</f>
        <v>28.8</v>
      </c>
      <c r="C2" s="21">
        <f>SUMIF('Production Plan'!$C$2:$C$51,A2,'Production Plan'!$I$2:$I$51)</f>
        <v>0</v>
      </c>
      <c r="D2" s="21" t="str">
        <f>IF(COUNT('Production Plan'!$I$2:$I$51)=0,"",C2-B2)</f>
        <v/>
      </c>
      <c r="E2" s="22" t="str">
        <f>IF(C2=0,"",IFERROR(C2/B2,""))</f>
        <v/>
      </c>
    </row>
    <row r="3" spans="1:5" x14ac:dyDescent="0.25">
      <c r="A3" s="2" t="s">
        <v>307</v>
      </c>
      <c r="B3" s="21">
        <f>SUMIF('Production Plan'!$C$2:$C$51,A3,'Production Plan'!$F$2:$F$51)</f>
        <v>201.6</v>
      </c>
      <c r="C3" s="21">
        <f>SUMIF('Production Plan'!$C$2:$C$51,A3,'Production Plan'!$I$2:$I$51)</f>
        <v>0</v>
      </c>
      <c r="D3" s="21" t="str">
        <f>IF(COUNT('Production Plan'!$I$2:$I$51)=0,"",C3-B3)</f>
        <v/>
      </c>
      <c r="E3" s="22" t="str">
        <f>IF(C3=0,"",IFERROR(C3/B3,""))</f>
        <v/>
      </c>
    </row>
    <row r="4" spans="1:5" x14ac:dyDescent="0.25">
      <c r="A4" s="2" t="s">
        <v>308</v>
      </c>
      <c r="B4" s="21">
        <f>SUMIF('Production Plan'!$C$2:$C$51,A4,'Production Plan'!$F$2:$F$51)</f>
        <v>211.2</v>
      </c>
      <c r="C4" s="21">
        <f>SUMIF('Production Plan'!$C$2:$C$51,A4,'Production Plan'!$I$2:$I$51)</f>
        <v>0</v>
      </c>
      <c r="D4" s="21" t="str">
        <f>IF(COUNT('Production Plan'!$I$2:$I$51)=0,"",C4-B4)</f>
        <v/>
      </c>
      <c r="E4" s="22" t="str">
        <f>IF(C4=0,"",IFERROR(C4/B4,""))</f>
        <v/>
      </c>
    </row>
    <row r="5" spans="1:5" x14ac:dyDescent="0.25">
      <c r="A5" s="2" t="s">
        <v>309</v>
      </c>
      <c r="B5" s="21">
        <f>SUMIF('Production Plan'!$C$2:$C$51,A5,'Production Plan'!$F$2:$F$51)</f>
        <v>38.4</v>
      </c>
      <c r="C5" s="21">
        <f>SUMIF('Production Plan'!$C$2:$C$51,A5,'Production Plan'!$I$2:$I$51)</f>
        <v>0</v>
      </c>
      <c r="D5" s="21" t="str">
        <f>IF(COUNT('Production Plan'!$I$2:$I$51)=0,"",C5-B5)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4" customFormat="1" x14ac:dyDescent="0.25">
      <c r="A1" s="26" t="s">
        <v>310</v>
      </c>
      <c r="B1" s="26"/>
      <c r="C1" s="26"/>
      <c r="D1" s="26"/>
      <c r="E1" s="26"/>
      <c r="F1" s="26"/>
    </row>
    <row r="2" spans="1:6" s="24" customFormat="1" x14ac:dyDescent="0.25">
      <c r="A2" s="26"/>
      <c r="B2" s="26"/>
      <c r="C2" s="26"/>
      <c r="D2" s="26"/>
      <c r="E2" s="26"/>
      <c r="F2" s="26"/>
    </row>
    <row r="4" ht="24" customHeight="1" spans="1:2" s="24" customFormat="1" x14ac:dyDescent="0.25">
      <c r="A4" s="25" t="s">
        <v>311</v>
      </c>
      <c r="B4" s="25" t="s">
        <v>312</v>
      </c>
    </row>
    <row r="5" spans="1:2" s="24" customFormat="1" x14ac:dyDescent="0.25">
      <c r="A5" s="3" t="s">
        <v>71</v>
      </c>
      <c r="B5" s="3" t="s">
        <v>86</v>
      </c>
    </row>
    <row r="6" spans="1:2" s="24" customFormat="1" x14ac:dyDescent="0.25">
      <c r="A6" s="3" t="s">
        <v>74</v>
      </c>
      <c r="B6" s="3" t="s">
        <v>88</v>
      </c>
    </row>
    <row r="7" spans="1:2" s="24" customFormat="1" x14ac:dyDescent="0.25">
      <c r="A7" s="3" t="s">
        <v>76</v>
      </c>
      <c r="B7" s="3" t="s">
        <v>90</v>
      </c>
    </row>
    <row r="8" spans="1:2" s="24" customFormat="1" x14ac:dyDescent="0.25">
      <c r="A8" s="3" t="s">
        <v>78</v>
      </c>
      <c r="B8" s="3" t="s">
        <v>92</v>
      </c>
    </row>
    <row r="9" spans="1:2" s="24" customFormat="1" x14ac:dyDescent="0.25">
      <c r="A9" s="3" t="s">
        <v>206</v>
      </c>
      <c r="B9" s="3" t="s">
        <v>95</v>
      </c>
    </row>
    <row r="12" ht="24" customHeight="1" spans="1:3" s="24" customFormat="1" x14ac:dyDescent="0.25">
      <c r="A12" s="25" t="s">
        <v>115</v>
      </c>
      <c r="B12" s="25" t="s">
        <v>113</v>
      </c>
      <c r="C12" s="25" t="s">
        <v>245</v>
      </c>
    </row>
    <row r="13" spans="1:3" s="24" customFormat="1" x14ac:dyDescent="0.25">
      <c r="A13" s="3" t="s">
        <v>116</v>
      </c>
      <c r="B13" s="3" t="s">
        <v>117</v>
      </c>
      <c r="C13" s="3" t="s">
        <v>118</v>
      </c>
    </row>
    <row r="14" spans="1:3" s="24" customFormat="1" x14ac:dyDescent="0.25">
      <c r="A14" s="3" t="s">
        <v>119</v>
      </c>
      <c r="B14" s="3" t="s">
        <v>120</v>
      </c>
      <c r="C14" s="3" t="s">
        <v>121</v>
      </c>
    </row>
    <row r="15" spans="1:3" s="24" customFormat="1" x14ac:dyDescent="0.25">
      <c r="A15" s="3" t="s">
        <v>123</v>
      </c>
      <c r="B15" s="3" t="s">
        <v>124</v>
      </c>
      <c r="C15" s="3" t="s">
        <v>125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4" customWidth="1"/>
  </cols>
  <sheetData>
    <row r="1" spans="1:4" x14ac:dyDescent="0.25">
      <c r="A1" s="26" t="s">
        <v>313</v>
      </c>
      <c r="B1" s="26"/>
      <c r="C1" s="26"/>
      <c r="D1" s="26"/>
    </row>
    <row r="2" spans="1:4" x14ac:dyDescent="0.25">
      <c r="A2" s="26"/>
      <c r="B2" s="26"/>
      <c r="C2" s="26"/>
      <c r="D2" s="26"/>
    </row>
    <row r="4" ht="24" customHeight="1" spans="1:2" x14ac:dyDescent="0.25">
      <c r="A4" s="13" t="s">
        <v>18</v>
      </c>
      <c r="B4" s="25" t="s">
        <v>122</v>
      </c>
    </row>
    <row r="5" spans="1:2" x14ac:dyDescent="0.25">
      <c r="A5" s="2">
        <v>1</v>
      </c>
      <c r="B5" s="3" t="s">
        <v>314</v>
      </c>
    </row>
    <row r="6" spans="1:2" x14ac:dyDescent="0.25">
      <c r="A6" s="2">
        <v>2</v>
      </c>
      <c r="B6" s="3" t="s">
        <v>315</v>
      </c>
    </row>
    <row r="7" spans="1:2" x14ac:dyDescent="0.25">
      <c r="A7" s="2">
        <v>3</v>
      </c>
      <c r="B7" s="3" t="s">
        <v>314</v>
      </c>
    </row>
    <row r="8" spans="1:2" x14ac:dyDescent="0.25">
      <c r="A8" s="2">
        <v>4</v>
      </c>
      <c r="B8" s="3" t="s">
        <v>316</v>
      </c>
    </row>
    <row r="9" spans="1:2" x14ac:dyDescent="0.25">
      <c r="A9" s="2">
        <v>5</v>
      </c>
      <c r="B9" s="3" t="s">
        <v>317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2026-07-29T06:57:17Z</dcterms:created>
  <dcterms:modified xsi:type="dcterms:W3CDTF">2026-07-29T06:57:17Z</dcterms:modified>
</cp:coreProperties>
</file>