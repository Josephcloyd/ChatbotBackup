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LPB Phase Summary" state="visible" r:id="rId6"/>
    <sheet sheetId="4" name="Weekly Schedule" state="visible" r:id="rId7"/>
    <sheet sheetId="5" name="Resource Allocation" state="visible" r:id="rId8"/>
    <sheet sheetId="6" name="Milestones" state="visible" r:id="rId9"/>
    <sheet sheetId="7" name="QA Review" state="visible" r:id="rId10"/>
    <sheet sheetId="8" name="Risks and Assumptions" state="visible" r:id="rId11"/>
    <sheet sheetId="9" name="Progress Tracker" state="visible" r:id="rId12"/>
    <sheet sheetId="10" name="Summary" state="visible" r:id="rId13"/>
    <sheet sheetId="11" name="Project Information" state="visible" r:id="rId14"/>
    <sheet sheetId="12" name="Capacity Analysis" state="visible" r:id="rId15"/>
    <sheet sheetId="13" name="Workflow Stages" state="visible" r:id="rId16"/>
    <sheet sheetId="14" name="Task Breakdown" state="visible" r:id="rId17"/>
    <sheet sheetId="15" name="Quality Plan" state="visible" r:id="rId18"/>
    <sheet sheetId="16" name="Risk Register" state="visible" r:id="rId19"/>
    <sheet sheetId="17" name="KPI Tracker" state="visible" r:id="rId20"/>
    <sheet sheetId="18" name="Chart Specs" state="visible" r:id="rId21"/>
    <sheet sheetId="19" name="Monthly Summary" state="visible" r:id="rId22"/>
    <sheet sheetId="20" name="Phases &amp; Risks" state="visible" r:id="rId23"/>
    <sheet sheetId="21" name="Assumptions" state="visible" r:id="rId24"/>
  </sheets>
  <calcPr calcId="171027" fullCalcOnLoad="1"/>
</workbook>
</file>

<file path=xl/sharedStrings.xml><?xml version="1.0" encoding="utf-8"?>
<sst xmlns="http://schemas.openxmlformats.org/spreadsheetml/2006/main" count="929" uniqueCount="354">
  <si>
    <t>Production Plan | Overview</t>
  </si>
  <si>
    <t>Project</t>
  </si>
  <si>
    <t>Task Approval Monitoring Plan</t>
  </si>
  <si>
    <t>Client</t>
  </si>
  <si>
    <t>Not specified</t>
  </si>
  <si>
    <t>Description</t>
  </si>
  <si>
    <t>Generate me a production plan for a certain task status monitoring. The main unit of measure is the number of tasks approved. For 3 months starting this September 1, 2026, a total of 300 tasks should be achieved. Each day, there should be a target of 3 operator present. The production plan should also monitor how many tasks are rejected, in pending review, and a daily status flag whether it achieved the target number tasked approved.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</si>
  <si>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</si>
  <si>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</si>
  <si>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</si>
  <si>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</si>
  <si>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</si>
  <si>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</si>
  <si>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</si>
  <si>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</si>
  <si>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</si>
  <si>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</si>
  <si>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 xml:space="preserve">Task Approval Monitoring Plan revision 4: Can you change the start date to September 1, 2026"?
The deadline should change based on the start date and the the given timeframe of 3 months. So the deadline is 3 months afte.... Planned workload: 300 tasks from 2026-09-01 to 2026-11-30 with 3 resource(s).</t>
  </si>
  <si>
    <t>No.</t>
  </si>
  <si>
    <t>Date</t>
  </si>
  <si>
    <t>Month</t>
  </si>
  <si>
    <t>Day</t>
  </si>
  <si>
    <t>Planned Staff</t>
  </si>
  <si>
    <t>Planned Tasks</t>
  </si>
  <si>
    <t>Tasks per Person</t>
  </si>
  <si>
    <t>Actual Staff</t>
  </si>
  <si>
    <t>Actual Tasks Approved</t>
  </si>
  <si>
    <t>Tasks per Person (Actual)</t>
  </si>
  <si>
    <t>Planned Hours</t>
  </si>
  <si>
    <t>Actual Hours</t>
  </si>
  <si>
    <t>Variance (Tasks)</t>
  </si>
  <si>
    <t>Completion Rate (%)</t>
  </si>
  <si>
    <t>Status</t>
  </si>
  <si>
    <t>LPB Phase</t>
  </si>
  <si>
    <t>Expected Completion %</t>
  </si>
  <si>
    <t>Notes</t>
  </si>
  <si>
    <t/>
  </si>
  <si>
    <t>Training day: onboarding, process familiarization, calibration, and coached starter production</t>
  </si>
  <si>
    <t>Training day: coached production, error correction, quality review, and workflow adjustment</t>
  </si>
  <si>
    <t>Full-production day: maximize planned output while monitoring quality and workforce utilization</t>
  </si>
  <si>
    <t>Review day: backlog clearing, quality checks, and rework triage</t>
  </si>
  <si>
    <t>Maintenance day: corrections, validation, exception resolution, and remaining production</t>
  </si>
  <si>
    <t>Phase</t>
  </si>
  <si>
    <t>Duration Days</t>
  </si>
  <si>
    <t>Target Share</t>
  </si>
  <si>
    <t>Target Employees</t>
  </si>
  <si>
    <t>Records per Employee</t>
  </si>
  <si>
    <t>Target Hours</t>
  </si>
  <si>
    <t>Focus</t>
  </si>
  <si>
    <t>Learning</t>
  </si>
  <si>
    <t>20%</t>
  </si>
  <si>
    <t>Train the team, confirm workflow rules, calibrate quality expectations, and ramp production gradually.</t>
  </si>
  <si>
    <t>Performing</t>
  </si>
  <si>
    <t>50%</t>
  </si>
  <si>
    <t>Run the main production workload at the highest stable target while maintaining quality standards.</t>
  </si>
  <si>
    <t>Breakthrough</t>
  </si>
  <si>
    <t>30%</t>
  </si>
  <si>
    <t>Complete remaining production, resolve backlogs, perform maintenance, rework exceptions, and validate final output.</t>
  </si>
  <si>
    <t>Week</t>
  </si>
  <si>
    <t>End Date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</si>
  <si>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</si>
  <si>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</si>
  <si>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</si>
  <si>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</si>
  <si>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</si>
  <si>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</si>
  <si>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</si>
  <si>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</si>
  <si>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</si>
  <si>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</si>
  <si>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</si>
  <si>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</si>
  <si>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</si>
  <si>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</si>
  <si>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</si>
  <si>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</si>
  <si>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</si>
  <si>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</si>
  <si>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</si>
  <si>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</si>
  <si>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</si>
  <si>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</si>
  <si>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</si>
  <si>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2026-10-07</t>
  </si>
  <si>
    <t>2026-10-13</t>
  </si>
  <si>
    <t>2026-10-14</t>
  </si>
  <si>
    <t>2026-10-20</t>
  </si>
  <si>
    <t>2026-10-21</t>
  </si>
  <si>
    <t>2026-10-27</t>
  </si>
  <si>
    <t>2026-10-28</t>
  </si>
  <si>
    <t>Final validation day: final QA, completion review, corrections signoff, and delivery preparation</t>
  </si>
  <si>
    <t>Resource</t>
  </si>
  <si>
    <t>Role</t>
  </si>
  <si>
    <t>Primary Focus</t>
  </si>
  <si>
    <t>Task Approver 1</t>
  </si>
  <si>
    <t>Task Approver</t>
  </si>
  <si>
    <t>Weekday allocation</t>
  </si>
  <si>
    <t>Task Approver 2</t>
  </si>
  <si>
    <t>Task Approver 3</t>
  </si>
  <si>
    <t>Milestone</t>
  </si>
  <si>
    <t>Target Date</t>
  </si>
  <si>
    <t>Owner</t>
  </si>
  <si>
    <t>Dependency</t>
  </si>
  <si>
    <t>Acceptance Check</t>
  </si>
  <si>
    <t>Learning complete</t>
  </si>
  <si>
    <t>2026-08-27</t>
  </si>
  <si>
    <t>Resource 1</t>
  </si>
  <si>
    <t>Inputs confirmed</t>
  </si>
  <si>
    <t>Performing complete</t>
  </si>
  <si>
    <t>2026-09-28</t>
  </si>
  <si>
    <t>Resource 2</t>
  </si>
  <si>
    <t>Breakthrough complete</t>
  </si>
  <si>
    <t>Project lead</t>
  </si>
  <si>
    <t>Checkpoint</t>
  </si>
  <si>
    <t>Scope</t>
  </si>
  <si>
    <t>Criteria</t>
  </si>
  <si>
    <t>Week 1 quality review</t>
  </si>
  <si>
    <t>Progress review, blockers, and output completeness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</si>
  <si>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</si>
  <si>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</si>
  <si>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</si>
  <si>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</si>
  <si>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</si>
  <si>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</si>
  <si>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</si>
  <si>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</si>
  <si>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</si>
  <si>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Week 10 quality review</t>
  </si>
  <si>
    <t>Week 11 quality review</t>
  </si>
  <si>
    <t>Week 12 quality review</t>
  </si>
  <si>
    <t>Week 13 quality review</t>
  </si>
  <si>
    <t>Final review</t>
  </si>
  <si>
    <t>Type</t>
  </si>
  <si>
    <t>Item</t>
  </si>
  <si>
    <t>Impact</t>
  </si>
  <si>
    <t>Mitigation / Note</t>
  </si>
  <si>
    <t>Risk</t>
  </si>
  <si>
    <t>Staffing shortages or unavailability</t>
  </si>
  <si>
    <t>Reduces throughput and delays task approval</t>
  </si>
  <si>
    <t>Maintain a buffer of 1-2 additional staff for unexpected absences.</t>
  </si>
  <si>
    <t>Review process delays</t>
  </si>
  <si>
    <t>Reduces daily task approval rate</t>
  </si>
  <si>
    <t>Implement a dedicated review queue and prioritize urgent tasks.</t>
  </si>
  <si>
    <t>Inconsistent throughput</t>
  </si>
  <si>
    <t>Affects overall project timeline and resource allocation</t>
  </si>
  <si>
    <t>Monitor daily performance and adjust staffing or hours as needed.</t>
  </si>
  <si>
    <t>Assumption</t>
  </si>
  <si>
    <t>Weekends excluded</t>
  </si>
  <si>
    <t>Controls available workdays and daily target tasks</t>
  </si>
  <si>
    <t>Schedule generated from normalized planning constraints.</t>
  </si>
  <si>
    <t>Period</t>
  </si>
  <si>
    <t>Actual Tasks</t>
  </si>
  <si>
    <t>Variance</t>
  </si>
  <si>
    <t>Completion %</t>
  </si>
  <si>
    <t>Week 1</t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</si>
  <si>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</si>
  <si>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</si>
  <si>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</si>
  <si>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</si>
  <si>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</si>
  <si>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</si>
  <si>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</si>
  <si>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</si>
  <si>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</si>
  <si>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</si>
  <si>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</si>
  <si>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</si>
  <si>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</si>
  <si>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</si>
  <si>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Metric</t>
  </si>
  <si>
    <t>Value</t>
  </si>
  <si>
    <t>Project type</t>
  </si>
  <si>
    <t>manufacturing</t>
  </si>
  <si>
    <t>Production unit</t>
  </si>
  <si>
    <t>tasks</t>
  </si>
  <si>
    <t>Start date</t>
  </si>
  <si>
    <t>End date</t>
  </si>
  <si>
    <t>Total planned hours</t>
  </si>
  <si>
    <t>Team size</t>
  </si>
  <si>
    <t>Schedule mode</t>
  </si>
  <si>
    <t>Total planned tasks</t>
  </si>
  <si>
    <t>LPB output split</t>
  </si>
  <si>
    <t>Learning 20%, Performing 50%, Breakthrough 30%</t>
  </si>
  <si>
    <t>Field</t>
  </si>
  <si>
    <t>Project category</t>
  </si>
  <si>
    <t>Planning model</t>
  </si>
  <si>
    <t>LPB Model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</si>
  <si>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</si>
  <si>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</si>
  <si>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</si>
  <si>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</si>
  <si>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</si>
  <si>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</si>
  <si>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</si>
  <si>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</si>
  <si>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</si>
  <si>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hours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</si>
  <si>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</si>
  <si>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</si>
  <si>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</si>
  <si>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</si>
  <si>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</si>
  <si>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</si>
  <si>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</si>
  <si>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</si>
  <si>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</si>
  <si>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</si>
  <si>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</si>
  <si>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</si>
  <si>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</si>
  <si>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</si>
  <si>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</si>
  <si>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</si>
  <si>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</si>
  <si>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</si>
  <si>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</si>
  <si>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</si>
  <si>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</si>
  <si>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</si>
  <si>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</si>
  <si>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</si>
  <si>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</si>
  <si>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</si>
  <si>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</si>
  <si>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</si>
  <si>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</si>
  <si>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Machine/operator</t>
  </si>
  <si>
    <t>Project request and confirmed constraints</t>
  </si>
  <si>
    <t>Learning deliverables</t>
  </si>
  <si>
    <t>STG-02</t>
  </si>
  <si>
    <t>Learning outputs</t>
  </si>
  <si>
    <t>Performing deliverables</t>
  </si>
  <si>
    <t>2026-08-28</t>
  </si>
  <si>
    <t>STG-03</t>
  </si>
  <si>
    <t>Performing outputs</t>
  </si>
  <si>
    <t>Breakthrough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</si>
  <si>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</si>
  <si>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</si>
  <si>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</si>
  <si>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</si>
  <si>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</si>
  <si>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</si>
  <si>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</si>
  <si>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</si>
  <si>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</si>
  <si>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</si>
  <si>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</si>
  <si>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</si>
  <si>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Learning completed</t>
  </si>
  <si>
    <t>NOT_STARTED</t>
  </si>
  <si>
    <t>TASK-002</t>
  </si>
  <si>
    <t>2026-10-01</t>
  </si>
  <si>
    <t>2026-11-02</t>
  </si>
  <si>
    <t>Performing completed</t>
  </si>
  <si>
    <t>TASK-003</t>
  </si>
  <si>
    <t>HIGH</t>
  </si>
  <si>
    <t>2026-11-30</t>
  </si>
  <si>
    <t>Breakthrough completed</t>
  </si>
  <si>
    <t>Area</t>
  </si>
  <si>
    <t>Method</t>
  </si>
  <si>
    <t>Target</t>
  </si>
  <si>
    <t>Review coverage</t>
  </si>
  <si>
    <t>Batch inspection and defect isolation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</si>
  <si>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</si>
  <si>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</si>
  <si>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</si>
  <si>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</si>
  <si>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</si>
  <si>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</si>
  <si>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</si>
  <si>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</si>
  <si>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</si>
  <si>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</si>
  <si>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</si>
  <si>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</si>
  <si>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</si>
  <si>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</si>
  <si>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</si>
  <si>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</si>
  <si>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RISK-003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</si>
  <si>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</si>
  <si>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</si>
  <si>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</si>
  <si>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</si>
  <si>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</si>
  <si>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</si>
  <si>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</si>
  <si>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</si>
  <si>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</si>
  <si>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</si>
  <si>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</si>
  <si>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</si>
  <si>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</si>
  <si>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</si>
  <si>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</si>
  <si>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</si>
  <si>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</si>
  <si>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</si>
  <si>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</si>
  <si>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</si>
  <si>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</si>
  <si>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</si>
  <si>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</si>
  <si>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</si>
  <si>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</si>
  <si>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</si>
  <si>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</si>
  <si>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</si>
  <si>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</si>
  <si>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</si>
  <si>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</si>
  <si>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</si>
  <si>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</si>
  <si>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</si>
  <si>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</si>
  <si>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</si>
  <si>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Tasks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</si>
  <si>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</si>
  <si>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</si>
  <si>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</si>
  <si>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</si>
  <si>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</si>
  <si>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</si>
  <si>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</si>
  <si>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</si>
  <si>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</si>
  <si>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</si>
  <si>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</si>
  <si>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</si>
  <si>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</si>
  <si>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</si>
  <si>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</si>
  <si>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</si>
  <si>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</si>
  <si>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Sep 2026</t>
  </si>
  <si>
    <t>Oct 2026</t>
  </si>
  <si>
    <t>Nov 2026</t>
  </si>
  <si>
    <t>Delivery Phases &amp; Risk Register</t>
  </si>
  <si>
    <t>Objective</t>
  </si>
  <si>
    <t>Complete planned production work.</t>
  </si>
  <si>
    <t>Planning Assumptions</t>
  </si>
  <si>
    <t>Throughput rate is based on industry standards for task approval processes.</t>
  </si>
  <si>
    <t>Staffing is fixed at 3 operators for the duration.</t>
  </si>
  <si>
    <t>Review and rejection are treated as active work and not free.</t>
  </si>
  <si>
    <t>All tasks must be reviewed before approval.</t>
  </si>
  <si>
    <t>The LPB Model is applied to ensure linear progress and risk alignment.</t>
  </si>
  <si>
    <t>Requested planning model preserved: LPB Model.</t>
  </si>
  <si>
    <t>LPB phase boundaries divide scheduled workdays into approximately equal thirds with output/effort targets of 20%, 50%, and 30%.</t>
  </si>
  <si>
    <t>Weekdays only scheduling was used.</t>
  </si>
  <si>
    <t>300 tasks distributed with LPB allocation: Learning 20%, Performing 50%, Breakthrough 30%.</t>
  </si>
  <si>
    <t>Throughput: 2 tasks/person/hour (proposed by AI). Daily team target: ~48 tasks/day.</t>
  </si>
  <si>
    <t>Revision 2: The deadline should change based on the start date and the the given timeframe of 3 months. So the deadline is 3 months after the startdate. The staffing and everything else sho...</t>
  </si>
  <si>
    <t xml:space="preserve">Revision 3: Can you change the start date to September 1, 2026"?
The deadline should change based on the start date and the the given timeframe of 3 months. So the deadline is 3 months afte...</t>
  </si>
  <si>
    <t xml:space="preserve">Revision 4: Can you change the start date to September 1, 2026"?
The deadline should change based on the start date and the the given timeframe of 3 months. So the deadline is 3 months afte...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</si>
</sst>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3" fontId="3" fillId="2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" fontId="3" fillId="2" borderId="1" xfId="0" applyNumberFormat="1" applyFont="1" applyFill="1" applyBorder="1" applyAlignment="1">
      <alignment vertical="top" wrapText="1"/>
    </xf>
    <xf numFmtId="165" fontId="3" fillId="2" borderId="1" xfId="0" applyNumberFormat="1" applyFont="1" applyFill="1" applyBorder="1" applyAlignment="1">
      <alignment vertical="top" wrapText="1"/>
    </xf>
    <xf numFmtId="3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3" fontId="2" fillId="6" borderId="0" xfId="0" applyNumberFormat="1" applyFont="1" applyFill="1" applyAlignment="1">
      <alignment vertical="top" wrapText="1"/>
    </xf>
    <xf numFmtId="3" fontId="0" fillId="4" borderId="0" xfId="0" applyNumberFormat="1" applyFill="1" applyAlignment="1">
      <alignment vertical="top" wrapText="1"/>
    </xf>
    <xf numFmtId="4" fontId="2" fillId="6" borderId="0" xfId="0" applyNumberFormat="1" applyFont="1" applyFill="1" applyAlignment="1">
      <alignment vertical="top" wrapText="1"/>
    </xf>
    <xf numFmtId="4" fontId="0" fillId="4" borderId="0" xfId="0" applyNumberFormat="1" applyFill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/>
    <xf numFmtId="165" fontId="2" fillId="0" borderId="0" xfId="0" applyNumberFormat="1" applyFon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46266</v>
      </c>
      <c r="C8" s="2" t="s">
        <v>8</v>
      </c>
      <c r="D8" s="4">
        <v>46356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65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Plan'!F2:F66)</f>
        <v>300</v>
      </c>
      <c r="B12" s="6"/>
      <c r="C12" s="7">
        <f>MAX('Production Plan'!E2:E66)</f>
        <v>3</v>
      </c>
      <c r="D12" s="7"/>
      <c r="E12" s="6">
        <f>SUM('Production Plan'!I2:I66)</f>
        <v>0</v>
      </c>
      <c r="F12" s="6"/>
      <c r="G12" s="8" t="str">
        <f>IF(COUNT('Production Plan'!I2:I66)=0,"",IFERROR(E12/A12,""))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0" customWidth="1"/>
    <col min="2" max="2" width="12" style="11" customWidth="1"/>
    <col min="3" max="4" width="12" style="12" customWidth="1"/>
    <col min="5" max="6" width="15" style="10" customWidth="1"/>
    <col min="7" max="7" width="18" style="10" customWidth="1"/>
    <col min="8" max="8" width="14" style="10" customWidth="1"/>
    <col min="9" max="9" width="23" style="10" customWidth="1"/>
    <col min="10" max="10" width="27" style="10" customWidth="1"/>
    <col min="11" max="11" width="15" style="13" customWidth="1"/>
    <col min="12" max="12" width="14" style="13" customWidth="1"/>
    <col min="13" max="13" width="18" style="10" customWidth="1"/>
    <col min="14" max="14" width="21" style="14" customWidth="1"/>
    <col min="15" max="15" width="13" style="12" customWidth="1"/>
    <col min="16" max="16" width="12" style="12" customWidth="1"/>
    <col min="17" max="17" width="23" style="14" customWidth="1"/>
    <col min="18" max="18" width="34" style="12" customWidth="1"/>
  </cols>
  <sheetData>
    <row r="1" ht="24" customHeight="1" spans="1:18" x14ac:dyDescent="0.25">
      <c r="A1" s="15" t="s">
        <v>18</v>
      </c>
      <c r="B1" s="16" t="s">
        <v>19</v>
      </c>
      <c r="C1" s="17" t="s">
        <v>20</v>
      </c>
      <c r="D1" s="17" t="s">
        <v>21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8" t="s">
        <v>28</v>
      </c>
      <c r="L1" s="18" t="s">
        <v>29</v>
      </c>
      <c r="M1" s="15" t="s">
        <v>30</v>
      </c>
      <c r="N1" s="19" t="s">
        <v>31</v>
      </c>
      <c r="O1" s="17" t="s">
        <v>32</v>
      </c>
      <c r="P1" s="17" t="s">
        <v>33</v>
      </c>
      <c r="Q1" s="19" t="s">
        <v>34</v>
      </c>
      <c r="R1" s="17" t="s">
        <v>35</v>
      </c>
    </row>
    <row r="2" ht="20" customHeight="1" spans="1:18" x14ac:dyDescent="0.25">
      <c r="A2" s="20">
        <v>1</v>
      </c>
      <c r="B2" s="21">
        <v>46266</v>
      </c>
      <c r="C2" s="3" t="str">
        <f>TEXT(B2,"mmm yyyy")</f>
        <v>Sep 2026</v>
      </c>
      <c r="D2" s="3" t="str">
        <f>TEXT(B2,"ddd")</f>
        <v>Tue</v>
      </c>
      <c r="E2" s="22">
        <v>3</v>
      </c>
      <c r="F2" s="22">
        <v>4.62</v>
      </c>
      <c r="G2" s="22">
        <f>IFERROR(F2/E2,0)</f>
        <v>1.54</v>
      </c>
      <c r="H2" s="23"/>
      <c r="I2" s="23"/>
      <c r="J2" s="20" t="str">
        <f>IF(OR(H2="",I2=""),"",I2/H2)</f>
        <v/>
      </c>
      <c r="K2" s="24" t="s">
        <v>36</v>
      </c>
      <c r="L2" s="25"/>
      <c r="M2" s="20" t="str">
        <f>IF(I2="","",I2-F2)</f>
        <v/>
      </c>
      <c r="N2" s="26" t="str">
        <f>IF(I2="","",IFERROR(I2/F2,""))</f>
        <v/>
      </c>
      <c r="O2" s="3" t="str">
        <f>IF(I2="","Not Started",IF(I2&gt;=F2,"Complete","In Progress"))</f>
        <v>Not Started</v>
      </c>
      <c r="P2" s="3" t="s">
        <v>36</v>
      </c>
      <c r="Q2" s="26" t="s">
        <v>36</v>
      </c>
      <c r="R2" s="27" t="s">
        <v>37</v>
      </c>
    </row>
    <row r="3" ht="20" customHeight="1" spans="1:18" x14ac:dyDescent="0.25">
      <c r="A3" s="20">
        <v>2</v>
      </c>
      <c r="B3" s="21">
        <v>46267</v>
      </c>
      <c r="C3" s="3" t="str">
        <f>TEXT(B3,"mmm yyyy")</f>
        <v>Sep 2026</v>
      </c>
      <c r="D3" s="3" t="str">
        <f>TEXT(B3,"ddd")</f>
        <v>Wed</v>
      </c>
      <c r="E3" s="22">
        <v>3</v>
      </c>
      <c r="F3" s="22">
        <v>4.62</v>
      </c>
      <c r="G3" s="22">
        <f>IFERROR(F3/E3,0)</f>
        <v>1.54</v>
      </c>
      <c r="H3" s="23"/>
      <c r="I3" s="23"/>
      <c r="J3" s="20" t="str">
        <f>IF(OR(H3="",I3=""),"",I3/H3)</f>
        <v/>
      </c>
      <c r="K3" s="24" t="s">
        <v>36</v>
      </c>
      <c r="L3" s="25"/>
      <c r="M3" s="20" t="str">
        <f>IF(I3="","",I3-F3)</f>
        <v/>
      </c>
      <c r="N3" s="26" t="str">
        <f>IF(I3="","",IFERROR(I3/F3,""))</f>
        <v/>
      </c>
      <c r="O3" s="3" t="str">
        <f>IF(I3="","Not Started",IF(I3&gt;=F3,"Complete","In Progress"))</f>
        <v>Not Started</v>
      </c>
      <c r="P3" s="3" t="s">
        <v>36</v>
      </c>
      <c r="Q3" s="26" t="s">
        <v>36</v>
      </c>
      <c r="R3" s="27" t="s">
        <v>38</v>
      </c>
    </row>
    <row r="4" ht="20" customHeight="1" spans="1:18" x14ac:dyDescent="0.25">
      <c r="A4" s="20">
        <v>3</v>
      </c>
      <c r="B4" s="21">
        <v>46268</v>
      </c>
      <c r="C4" s="3" t="str">
        <f>TEXT(B4,"mmm yyyy")</f>
        <v>Sep 2026</v>
      </c>
      <c r="D4" s="3" t="str">
        <f>TEXT(B4,"ddd")</f>
        <v>Thu</v>
      </c>
      <c r="E4" s="22">
        <v>3</v>
      </c>
      <c r="F4" s="22">
        <v>4.62</v>
      </c>
      <c r="G4" s="22">
        <f>IFERROR(F4/E4,0)</f>
        <v>1.54</v>
      </c>
      <c r="H4" s="23"/>
      <c r="I4" s="23"/>
      <c r="J4" s="20" t="str">
        <f>IF(OR(H4="",I4=""),"",I4/H4)</f>
        <v/>
      </c>
      <c r="K4" s="24" t="s">
        <v>36</v>
      </c>
      <c r="L4" s="25"/>
      <c r="M4" s="20" t="str">
        <f>IF(I4="","",I4-F4)</f>
        <v/>
      </c>
      <c r="N4" s="26" t="str">
        <f>IF(I4="","",IFERROR(I4/F4,""))</f>
        <v/>
      </c>
      <c r="O4" s="3" t="str">
        <f>IF(I4="","Not Started",IF(I4&gt;=F4,"Complete","In Progress"))</f>
        <v>Not Started</v>
      </c>
      <c r="P4" s="3" t="s">
        <v>36</v>
      </c>
      <c r="Q4" s="26" t="s">
        <v>36</v>
      </c>
      <c r="R4" s="27" t="s">
        <v>38</v>
      </c>
    </row>
    <row r="5" ht="20" customHeight="1" spans="1:18" x14ac:dyDescent="0.25">
      <c r="A5" s="20">
        <v>4</v>
      </c>
      <c r="B5" s="21">
        <v>46269</v>
      </c>
      <c r="C5" s="3" t="str">
        <f>TEXT(B5,"mmm yyyy")</f>
        <v>Sep 2026</v>
      </c>
      <c r="D5" s="3" t="str">
        <f>TEXT(B5,"ddd")</f>
        <v>Fri</v>
      </c>
      <c r="E5" s="22">
        <v>3</v>
      </c>
      <c r="F5" s="22">
        <v>4.62</v>
      </c>
      <c r="G5" s="22">
        <f>IFERROR(F5/E5,0)</f>
        <v>1.54</v>
      </c>
      <c r="H5" s="23"/>
      <c r="I5" s="23"/>
      <c r="J5" s="20" t="str">
        <f>IF(OR(H5="",I5=""),"",I5/H5)</f>
        <v/>
      </c>
      <c r="K5" s="24" t="s">
        <v>36</v>
      </c>
      <c r="L5" s="25"/>
      <c r="M5" s="20" t="str">
        <f>IF(I5="","",I5-F5)</f>
        <v/>
      </c>
      <c r="N5" s="26" t="str">
        <f>IF(I5="","",IFERROR(I5/F5,""))</f>
        <v/>
      </c>
      <c r="O5" s="3" t="str">
        <f>IF(I5="","Not Started",IF(I5&gt;=F5,"Complete","In Progress"))</f>
        <v>Not Started</v>
      </c>
      <c r="P5" s="3" t="s">
        <v>36</v>
      </c>
      <c r="Q5" s="26" t="s">
        <v>36</v>
      </c>
      <c r="R5" s="27" t="s">
        <v>38</v>
      </c>
    </row>
    <row r="6" ht="20" customHeight="1" spans="1:18" x14ac:dyDescent="0.25">
      <c r="A6" s="20">
        <v>5</v>
      </c>
      <c r="B6" s="21">
        <v>46272</v>
      </c>
      <c r="C6" s="3" t="str">
        <f>TEXT(B6,"mmm yyyy")</f>
        <v>Sep 2026</v>
      </c>
      <c r="D6" s="3" t="str">
        <f>TEXT(B6,"ddd")</f>
        <v>Mon</v>
      </c>
      <c r="E6" s="22">
        <v>3</v>
      </c>
      <c r="F6" s="22">
        <v>4.62</v>
      </c>
      <c r="G6" s="22">
        <f>IFERROR(F6/E6,0)</f>
        <v>1.54</v>
      </c>
      <c r="H6" s="23"/>
      <c r="I6" s="23"/>
      <c r="J6" s="20" t="str">
        <f>IF(OR(H6="",I6=""),"",I6/H6)</f>
        <v/>
      </c>
      <c r="K6" s="24" t="s">
        <v>36</v>
      </c>
      <c r="L6" s="25"/>
      <c r="M6" s="20" t="str">
        <f>IF(I6="","",I6-F6)</f>
        <v/>
      </c>
      <c r="N6" s="26" t="str">
        <f>IF(I6="","",IFERROR(I6/F6,""))</f>
        <v/>
      </c>
      <c r="O6" s="3" t="str">
        <f>IF(I6="","Not Started",IF(I6&gt;=F6,"Complete","In Progress"))</f>
        <v>Not Started</v>
      </c>
      <c r="P6" s="3" t="s">
        <v>36</v>
      </c>
      <c r="Q6" s="26" t="s">
        <v>36</v>
      </c>
      <c r="R6" s="27" t="s">
        <v>38</v>
      </c>
    </row>
    <row r="7" ht="20" customHeight="1" spans="1:18" x14ac:dyDescent="0.25">
      <c r="A7" s="20">
        <v>6</v>
      </c>
      <c r="B7" s="21">
        <v>46273</v>
      </c>
      <c r="C7" s="3" t="str">
        <f>TEXT(B7,"mmm yyyy")</f>
        <v>Sep 2026</v>
      </c>
      <c r="D7" s="3" t="str">
        <f>TEXT(B7,"ddd")</f>
        <v>Tue</v>
      </c>
      <c r="E7" s="22">
        <v>3</v>
      </c>
      <c r="F7" s="22">
        <v>4.62</v>
      </c>
      <c r="G7" s="22">
        <f>IFERROR(F7/E7,0)</f>
        <v>1.54</v>
      </c>
      <c r="H7" s="23"/>
      <c r="I7" s="23"/>
      <c r="J7" s="20" t="str">
        <f>IF(OR(H7="",I7=""),"",I7/H7)</f>
        <v/>
      </c>
      <c r="K7" s="24" t="s">
        <v>36</v>
      </c>
      <c r="L7" s="25"/>
      <c r="M7" s="20" t="str">
        <f>IF(I7="","",I7-F7)</f>
        <v/>
      </c>
      <c r="N7" s="26" t="str">
        <f>IF(I7="","",IFERROR(I7/F7,""))</f>
        <v/>
      </c>
      <c r="O7" s="3" t="str">
        <f>IF(I7="","Not Started",IF(I7&gt;=F7,"Complete","In Progress"))</f>
        <v>Not Started</v>
      </c>
      <c r="P7" s="3" t="s">
        <v>36</v>
      </c>
      <c r="Q7" s="26" t="s">
        <v>36</v>
      </c>
      <c r="R7" s="27" t="s">
        <v>38</v>
      </c>
    </row>
    <row r="8" ht="20" customHeight="1" spans="1:18" x14ac:dyDescent="0.25">
      <c r="A8" s="20">
        <v>7</v>
      </c>
      <c r="B8" s="21">
        <v>46274</v>
      </c>
      <c r="C8" s="3" t="str">
        <f>TEXT(B8,"mmm yyyy")</f>
        <v>Sep 2026</v>
      </c>
      <c r="D8" s="3" t="str">
        <f>TEXT(B8,"ddd")</f>
        <v>Wed</v>
      </c>
      <c r="E8" s="22">
        <v>3</v>
      </c>
      <c r="F8" s="22">
        <v>4.62</v>
      </c>
      <c r="G8" s="22">
        <f>IFERROR(F8/E8,0)</f>
        <v>1.54</v>
      </c>
      <c r="H8" s="23"/>
      <c r="I8" s="23"/>
      <c r="J8" s="20" t="str">
        <f>IF(OR(H8="",I8=""),"",I8/H8)</f>
        <v/>
      </c>
      <c r="K8" s="24" t="s">
        <v>36</v>
      </c>
      <c r="L8" s="25"/>
      <c r="M8" s="20" t="str">
        <f>IF(I8="","",I8-F8)</f>
        <v/>
      </c>
      <c r="N8" s="26" t="str">
        <f>IF(I8="","",IFERROR(I8/F8,""))</f>
        <v/>
      </c>
      <c r="O8" s="3" t="str">
        <f>IF(I8="","Not Started",IF(I8&gt;=F8,"Complete","In Progress"))</f>
        <v>Not Started</v>
      </c>
      <c r="P8" s="3" t="s">
        <v>36</v>
      </c>
      <c r="Q8" s="26" t="s">
        <v>36</v>
      </c>
      <c r="R8" s="27" t="s">
        <v>38</v>
      </c>
    </row>
    <row r="9" ht="20" customHeight="1" spans="1:18" x14ac:dyDescent="0.25">
      <c r="A9" s="20">
        <v>8</v>
      </c>
      <c r="B9" s="21">
        <v>46275</v>
      </c>
      <c r="C9" s="3" t="str">
        <f>TEXT(B9,"mmm yyyy")</f>
        <v>Sep 2026</v>
      </c>
      <c r="D9" s="3" t="str">
        <f>TEXT(B9,"ddd")</f>
        <v>Thu</v>
      </c>
      <c r="E9" s="22">
        <v>3</v>
      </c>
      <c r="F9" s="22">
        <v>4.62</v>
      </c>
      <c r="G9" s="22">
        <f>IFERROR(F9/E9,0)</f>
        <v>1.54</v>
      </c>
      <c r="H9" s="23"/>
      <c r="I9" s="23"/>
      <c r="J9" s="20" t="str">
        <f>IF(OR(H9="",I9=""),"",I9/H9)</f>
        <v/>
      </c>
      <c r="K9" s="24" t="s">
        <v>36</v>
      </c>
      <c r="L9" s="25"/>
      <c r="M9" s="20" t="str">
        <f>IF(I9="","",I9-F9)</f>
        <v/>
      </c>
      <c r="N9" s="26" t="str">
        <f>IF(I9="","",IFERROR(I9/F9,""))</f>
        <v/>
      </c>
      <c r="O9" s="3" t="str">
        <f>IF(I9="","Not Started",IF(I9&gt;=F9,"Complete","In Progress"))</f>
        <v>Not Started</v>
      </c>
      <c r="P9" s="3" t="s">
        <v>36</v>
      </c>
      <c r="Q9" s="26" t="s">
        <v>36</v>
      </c>
      <c r="R9" s="27" t="s">
        <v>38</v>
      </c>
    </row>
    <row r="10" ht="20" customHeight="1" spans="1:18" x14ac:dyDescent="0.25">
      <c r="A10" s="20">
        <v>9</v>
      </c>
      <c r="B10" s="21">
        <v>46276</v>
      </c>
      <c r="C10" s="3" t="str">
        <f>TEXT(B10,"mmm yyyy")</f>
        <v>Sep 2026</v>
      </c>
      <c r="D10" s="3" t="str">
        <f>TEXT(B10,"ddd")</f>
        <v>Fri</v>
      </c>
      <c r="E10" s="22">
        <v>3</v>
      </c>
      <c r="F10" s="22">
        <v>4.62</v>
      </c>
      <c r="G10" s="22">
        <f>IFERROR(F10/E10,0)</f>
        <v>1.54</v>
      </c>
      <c r="H10" s="23"/>
      <c r="I10" s="23"/>
      <c r="J10" s="20" t="str">
        <f>IF(OR(H10="",I10=""),"",I10/H10)</f>
        <v/>
      </c>
      <c r="K10" s="24" t="s">
        <v>36</v>
      </c>
      <c r="L10" s="25"/>
      <c r="M10" s="20" t="str">
        <f>IF(I10="","",I10-F10)</f>
        <v/>
      </c>
      <c r="N10" s="26" t="str">
        <f>IF(I10="","",IFERROR(I10/F10,""))</f>
        <v/>
      </c>
      <c r="O10" s="3" t="str">
        <f>IF(I10="","Not Started",IF(I10&gt;=F10,"Complete","In Progress"))</f>
        <v>Not Started</v>
      </c>
      <c r="P10" s="3" t="s">
        <v>36</v>
      </c>
      <c r="Q10" s="26" t="s">
        <v>36</v>
      </c>
      <c r="R10" s="27" t="s">
        <v>38</v>
      </c>
    </row>
    <row r="11" ht="20" customHeight="1" spans="1:18" x14ac:dyDescent="0.25">
      <c r="A11" s="20">
        <v>10</v>
      </c>
      <c r="B11" s="21">
        <v>46279</v>
      </c>
      <c r="C11" s="3" t="str">
        <f>TEXT(B11,"mmm yyyy")</f>
        <v>Sep 2026</v>
      </c>
      <c r="D11" s="3" t="str">
        <f>TEXT(B11,"ddd")</f>
        <v>Mon</v>
      </c>
      <c r="E11" s="22">
        <v>3</v>
      </c>
      <c r="F11" s="22">
        <v>4.62</v>
      </c>
      <c r="G11" s="22">
        <f>IFERROR(F11/E11,0)</f>
        <v>1.54</v>
      </c>
      <c r="H11" s="23"/>
      <c r="I11" s="23"/>
      <c r="J11" s="20" t="str">
        <f>IF(OR(H11="",I11=""),"",I11/H11)</f>
        <v/>
      </c>
      <c r="K11" s="24" t="s">
        <v>36</v>
      </c>
      <c r="L11" s="25"/>
      <c r="M11" s="20" t="str">
        <f>IF(I11="","",I11-F11)</f>
        <v/>
      </c>
      <c r="N11" s="26" t="str">
        <f>IF(I11="","",IFERROR(I11/F11,""))</f>
        <v/>
      </c>
      <c r="O11" s="3" t="str">
        <f>IF(I11="","Not Started",IF(I11&gt;=F11,"Complete","In Progress"))</f>
        <v>Not Started</v>
      </c>
      <c r="P11" s="3" t="s">
        <v>36</v>
      </c>
      <c r="Q11" s="26" t="s">
        <v>36</v>
      </c>
      <c r="R11" s="27" t="s">
        <v>38</v>
      </c>
    </row>
    <row r="12" ht="20" customHeight="1" spans="1:18" x14ac:dyDescent="0.25">
      <c r="A12" s="20">
        <v>11</v>
      </c>
      <c r="B12" s="21">
        <v>46280</v>
      </c>
      <c r="C12" s="3" t="str">
        <f>TEXT(B12,"mmm yyyy")</f>
        <v>Sep 2026</v>
      </c>
      <c r="D12" s="3" t="str">
        <f>TEXT(B12,"ddd")</f>
        <v>Tue</v>
      </c>
      <c r="E12" s="22">
        <v>3</v>
      </c>
      <c r="F12" s="22">
        <v>4.62</v>
      </c>
      <c r="G12" s="22">
        <f>IFERROR(F12/E12,0)</f>
        <v>1.54</v>
      </c>
      <c r="H12" s="23"/>
      <c r="I12" s="23"/>
      <c r="J12" s="20" t="str">
        <f>IF(OR(H12="",I12=""),"",I12/H12)</f>
        <v/>
      </c>
      <c r="K12" s="24" t="s">
        <v>36</v>
      </c>
      <c r="L12" s="25"/>
      <c r="M12" s="20" t="str">
        <f>IF(I12="","",I12-F12)</f>
        <v/>
      </c>
      <c r="N12" s="26" t="str">
        <f>IF(I12="","",IFERROR(I12/F12,""))</f>
        <v/>
      </c>
      <c r="O12" s="3" t="str">
        <f>IF(I12="","Not Started",IF(I12&gt;=F12,"Complete","In Progress"))</f>
        <v>Not Started</v>
      </c>
      <c r="P12" s="3" t="s">
        <v>36</v>
      </c>
      <c r="Q12" s="26" t="s">
        <v>36</v>
      </c>
      <c r="R12" s="27" t="s">
        <v>38</v>
      </c>
    </row>
    <row r="13" ht="20" customHeight="1" spans="1:18" x14ac:dyDescent="0.25">
      <c r="A13" s="20">
        <v>12</v>
      </c>
      <c r="B13" s="21">
        <v>46281</v>
      </c>
      <c r="C13" s="3" t="str">
        <f>TEXT(B13,"mmm yyyy")</f>
        <v>Sep 2026</v>
      </c>
      <c r="D13" s="3" t="str">
        <f>TEXT(B13,"ddd")</f>
        <v>Wed</v>
      </c>
      <c r="E13" s="22">
        <v>3</v>
      </c>
      <c r="F13" s="22">
        <v>4.62</v>
      </c>
      <c r="G13" s="22">
        <f>IFERROR(F13/E13,0)</f>
        <v>1.54</v>
      </c>
      <c r="H13" s="23"/>
      <c r="I13" s="23"/>
      <c r="J13" s="20" t="str">
        <f>IF(OR(H13="",I13=""),"",I13/H13)</f>
        <v/>
      </c>
      <c r="K13" s="24" t="s">
        <v>36</v>
      </c>
      <c r="L13" s="25"/>
      <c r="M13" s="20" t="str">
        <f>IF(I13="","",I13-F13)</f>
        <v/>
      </c>
      <c r="N13" s="26" t="str">
        <f>IF(I13="","",IFERROR(I13/F13,""))</f>
        <v/>
      </c>
      <c r="O13" s="3" t="str">
        <f>IF(I13="","Not Started",IF(I13&gt;=F13,"Complete","In Progress"))</f>
        <v>Not Started</v>
      </c>
      <c r="P13" s="3" t="s">
        <v>36</v>
      </c>
      <c r="Q13" s="26" t="s">
        <v>36</v>
      </c>
      <c r="R13" s="27" t="s">
        <v>38</v>
      </c>
    </row>
    <row r="14" ht="20" customHeight="1" spans="1:18" x14ac:dyDescent="0.25">
      <c r="A14" s="20">
        <v>13</v>
      </c>
      <c r="B14" s="21">
        <v>46282</v>
      </c>
      <c r="C14" s="3" t="str">
        <f>TEXT(B14,"mmm yyyy")</f>
        <v>Sep 2026</v>
      </c>
      <c r="D14" s="3" t="str">
        <f>TEXT(B14,"ddd")</f>
        <v>Thu</v>
      </c>
      <c r="E14" s="22">
        <v>3</v>
      </c>
      <c r="F14" s="22">
        <v>4.62</v>
      </c>
      <c r="G14" s="22">
        <f>IFERROR(F14/E14,0)</f>
        <v>1.54</v>
      </c>
      <c r="H14" s="23"/>
      <c r="I14" s="23"/>
      <c r="J14" s="20" t="str">
        <f>IF(OR(H14="",I14=""),"",I14/H14)</f>
        <v/>
      </c>
      <c r="K14" s="24" t="s">
        <v>36</v>
      </c>
      <c r="L14" s="25"/>
      <c r="M14" s="20" t="str">
        <f>IF(I14="","",I14-F14)</f>
        <v/>
      </c>
      <c r="N14" s="26" t="str">
        <f>IF(I14="","",IFERROR(I14/F14,""))</f>
        <v/>
      </c>
      <c r="O14" s="3" t="str">
        <f>IF(I14="","Not Started",IF(I14&gt;=F14,"Complete","In Progress"))</f>
        <v>Not Started</v>
      </c>
      <c r="P14" s="3" t="s">
        <v>36</v>
      </c>
      <c r="Q14" s="26" t="s">
        <v>36</v>
      </c>
      <c r="R14" s="27" t="s">
        <v>38</v>
      </c>
    </row>
    <row r="15" ht="20" customHeight="1" spans="1:18" x14ac:dyDescent="0.25">
      <c r="A15" s="20">
        <v>14</v>
      </c>
      <c r="B15" s="21">
        <v>46283</v>
      </c>
      <c r="C15" s="3" t="str">
        <f>TEXT(B15,"mmm yyyy")</f>
        <v>Sep 2026</v>
      </c>
      <c r="D15" s="3" t="str">
        <f>TEXT(B15,"ddd")</f>
        <v>Fri</v>
      </c>
      <c r="E15" s="22">
        <v>3</v>
      </c>
      <c r="F15" s="22">
        <v>4.62</v>
      </c>
      <c r="G15" s="22">
        <f>IFERROR(F15/E15,0)</f>
        <v>1.54</v>
      </c>
      <c r="H15" s="23"/>
      <c r="I15" s="23"/>
      <c r="J15" s="20" t="str">
        <f>IF(OR(H15="",I15=""),"",I15/H15)</f>
        <v/>
      </c>
      <c r="K15" s="24" t="s">
        <v>36</v>
      </c>
      <c r="L15" s="25"/>
      <c r="M15" s="20" t="str">
        <f>IF(I15="","",I15-F15)</f>
        <v/>
      </c>
      <c r="N15" s="26" t="str">
        <f>IF(I15="","",IFERROR(I15/F15,""))</f>
        <v/>
      </c>
      <c r="O15" s="3" t="str">
        <f>IF(I15="","Not Started",IF(I15&gt;=F15,"Complete","In Progress"))</f>
        <v>Not Started</v>
      </c>
      <c r="P15" s="3" t="s">
        <v>36</v>
      </c>
      <c r="Q15" s="26" t="s">
        <v>36</v>
      </c>
      <c r="R15" s="27" t="s">
        <v>38</v>
      </c>
    </row>
    <row r="16" ht="20" customHeight="1" spans="1:18" x14ac:dyDescent="0.25">
      <c r="A16" s="20">
        <v>15</v>
      </c>
      <c r="B16" s="21">
        <v>46286</v>
      </c>
      <c r="C16" s="3" t="str">
        <f>TEXT(B16,"mmm yyyy")</f>
        <v>Sep 2026</v>
      </c>
      <c r="D16" s="3" t="str">
        <f>TEXT(B16,"ddd")</f>
        <v>Mon</v>
      </c>
      <c r="E16" s="22">
        <v>3</v>
      </c>
      <c r="F16" s="22">
        <v>4.62</v>
      </c>
      <c r="G16" s="22">
        <f>IFERROR(F16/E16,0)</f>
        <v>1.54</v>
      </c>
      <c r="H16" s="23"/>
      <c r="I16" s="23"/>
      <c r="J16" s="20" t="str">
        <f>IF(OR(H16="",I16=""),"",I16/H16)</f>
        <v/>
      </c>
      <c r="K16" s="24" t="s">
        <v>36</v>
      </c>
      <c r="L16" s="25"/>
      <c r="M16" s="20" t="str">
        <f>IF(I16="","",I16-F16)</f>
        <v/>
      </c>
      <c r="N16" s="26" t="str">
        <f>IF(I16="","",IFERROR(I16/F16,""))</f>
        <v/>
      </c>
      <c r="O16" s="3" t="str">
        <f>IF(I16="","Not Started",IF(I16&gt;=F16,"Complete","In Progress"))</f>
        <v>Not Started</v>
      </c>
      <c r="P16" s="3" t="s">
        <v>36</v>
      </c>
      <c r="Q16" s="26" t="s">
        <v>36</v>
      </c>
      <c r="R16" s="27" t="s">
        <v>38</v>
      </c>
    </row>
    <row r="17" ht="20" customHeight="1" spans="1:18" x14ac:dyDescent="0.25">
      <c r="A17" s="20">
        <v>16</v>
      </c>
      <c r="B17" s="21">
        <v>46287</v>
      </c>
      <c r="C17" s="3" t="str">
        <f>TEXT(B17,"mmm yyyy")</f>
        <v>Sep 2026</v>
      </c>
      <c r="D17" s="3" t="str">
        <f>TEXT(B17,"ddd")</f>
        <v>Tue</v>
      </c>
      <c r="E17" s="22">
        <v>3</v>
      </c>
      <c r="F17" s="22">
        <v>4.62</v>
      </c>
      <c r="G17" s="22">
        <f>IFERROR(F17/E17,0)</f>
        <v>1.54</v>
      </c>
      <c r="H17" s="23"/>
      <c r="I17" s="23"/>
      <c r="J17" s="20" t="str">
        <f>IF(OR(H17="",I17=""),"",I17/H17)</f>
        <v/>
      </c>
      <c r="K17" s="24" t="s">
        <v>36</v>
      </c>
      <c r="L17" s="25"/>
      <c r="M17" s="20" t="str">
        <f>IF(I17="","",I17-F17)</f>
        <v/>
      </c>
      <c r="N17" s="26" t="str">
        <f>IF(I17="","",IFERROR(I17/F17,""))</f>
        <v/>
      </c>
      <c r="O17" s="3" t="str">
        <f>IF(I17="","Not Started",IF(I17&gt;=F17,"Complete","In Progress"))</f>
        <v>Not Started</v>
      </c>
      <c r="P17" s="3" t="s">
        <v>36</v>
      </c>
      <c r="Q17" s="26" t="s">
        <v>36</v>
      </c>
      <c r="R17" s="27" t="s">
        <v>38</v>
      </c>
    </row>
    <row r="18" ht="20" customHeight="1" spans="1:18" x14ac:dyDescent="0.25">
      <c r="A18" s="20">
        <v>17</v>
      </c>
      <c r="B18" s="21">
        <v>46288</v>
      </c>
      <c r="C18" s="3" t="str">
        <f>TEXT(B18,"mmm yyyy")</f>
        <v>Sep 2026</v>
      </c>
      <c r="D18" s="3" t="str">
        <f>TEXT(B18,"ddd")</f>
        <v>Wed</v>
      </c>
      <c r="E18" s="22">
        <v>3</v>
      </c>
      <c r="F18" s="22">
        <v>4.62</v>
      </c>
      <c r="G18" s="22">
        <f>IFERROR(F18/E18,0)</f>
        <v>1.54</v>
      </c>
      <c r="H18" s="23"/>
      <c r="I18" s="23"/>
      <c r="J18" s="20" t="str">
        <f>IF(OR(H18="",I18=""),"",I18/H18)</f>
        <v/>
      </c>
      <c r="K18" s="24" t="s">
        <v>36</v>
      </c>
      <c r="L18" s="25"/>
      <c r="M18" s="20" t="str">
        <f>IF(I18="","",I18-F18)</f>
        <v/>
      </c>
      <c r="N18" s="26" t="str">
        <f>IF(I18="","",IFERROR(I18/F18,""))</f>
        <v/>
      </c>
      <c r="O18" s="3" t="str">
        <f>IF(I18="","Not Started",IF(I18&gt;=F18,"Complete","In Progress"))</f>
        <v>Not Started</v>
      </c>
      <c r="P18" s="3" t="s">
        <v>36</v>
      </c>
      <c r="Q18" s="26" t="s">
        <v>36</v>
      </c>
      <c r="R18" s="27" t="s">
        <v>38</v>
      </c>
    </row>
    <row r="19" ht="20" customHeight="1" spans="1:18" x14ac:dyDescent="0.25">
      <c r="A19" s="20">
        <v>18</v>
      </c>
      <c r="B19" s="21">
        <v>46289</v>
      </c>
      <c r="C19" s="3" t="str">
        <f>TEXT(B19,"mmm yyyy")</f>
        <v>Sep 2026</v>
      </c>
      <c r="D19" s="3" t="str">
        <f>TEXT(B19,"ddd")</f>
        <v>Thu</v>
      </c>
      <c r="E19" s="22">
        <v>3</v>
      </c>
      <c r="F19" s="22">
        <v>4.62</v>
      </c>
      <c r="G19" s="22">
        <f>IFERROR(F19/E19,0)</f>
        <v>1.54</v>
      </c>
      <c r="H19" s="23"/>
      <c r="I19" s="23"/>
      <c r="J19" s="20" t="str">
        <f>IF(OR(H19="",I19=""),"",I19/H19)</f>
        <v/>
      </c>
      <c r="K19" s="24" t="s">
        <v>36</v>
      </c>
      <c r="L19" s="25"/>
      <c r="M19" s="20" t="str">
        <f>IF(I19="","",I19-F19)</f>
        <v/>
      </c>
      <c r="N19" s="26" t="str">
        <f>IF(I19="","",IFERROR(I19/F19,""))</f>
        <v/>
      </c>
      <c r="O19" s="3" t="str">
        <f>IF(I19="","Not Started",IF(I19&gt;=F19,"Complete","In Progress"))</f>
        <v>Not Started</v>
      </c>
      <c r="P19" s="3" t="s">
        <v>36</v>
      </c>
      <c r="Q19" s="26" t="s">
        <v>36</v>
      </c>
      <c r="R19" s="27" t="s">
        <v>38</v>
      </c>
    </row>
    <row r="20" ht="20" customHeight="1" spans="1:18" x14ac:dyDescent="0.25">
      <c r="A20" s="20">
        <v>19</v>
      </c>
      <c r="B20" s="21">
        <v>46290</v>
      </c>
      <c r="C20" s="3" t="str">
        <f>TEXT(B20,"mmm yyyy")</f>
        <v>Sep 2026</v>
      </c>
      <c r="D20" s="3" t="str">
        <f>TEXT(B20,"ddd")</f>
        <v>Fri</v>
      </c>
      <c r="E20" s="22">
        <v>3</v>
      </c>
      <c r="F20" s="22">
        <v>4.62</v>
      </c>
      <c r="G20" s="22">
        <f>IFERROR(F20/E20,0)</f>
        <v>1.54</v>
      </c>
      <c r="H20" s="23"/>
      <c r="I20" s="23"/>
      <c r="J20" s="20" t="str">
        <f>IF(OR(H20="",I20=""),"",I20/H20)</f>
        <v/>
      </c>
      <c r="K20" s="24" t="s">
        <v>36</v>
      </c>
      <c r="L20" s="25"/>
      <c r="M20" s="20" t="str">
        <f>IF(I20="","",I20-F20)</f>
        <v/>
      </c>
      <c r="N20" s="26" t="str">
        <f>IF(I20="","",IFERROR(I20/F20,""))</f>
        <v/>
      </c>
      <c r="O20" s="3" t="str">
        <f>IF(I20="","Not Started",IF(I20&gt;=F20,"Complete","In Progress"))</f>
        <v>Not Started</v>
      </c>
      <c r="P20" s="3" t="s">
        <v>36</v>
      </c>
      <c r="Q20" s="26" t="s">
        <v>36</v>
      </c>
      <c r="R20" s="27" t="s">
        <v>38</v>
      </c>
    </row>
    <row r="21" ht="20" customHeight="1" spans="1:18" x14ac:dyDescent="0.25">
      <c r="A21" s="20">
        <v>20</v>
      </c>
      <c r="B21" s="21">
        <v>46293</v>
      </c>
      <c r="C21" s="3" t="str">
        <f>TEXT(B21,"mmm yyyy")</f>
        <v>Sep 2026</v>
      </c>
      <c r="D21" s="3" t="str">
        <f>TEXT(B21,"ddd")</f>
        <v>Mon</v>
      </c>
      <c r="E21" s="22">
        <v>3</v>
      </c>
      <c r="F21" s="22">
        <v>4.62</v>
      </c>
      <c r="G21" s="22">
        <f>IFERROR(F21/E21,0)</f>
        <v>1.54</v>
      </c>
      <c r="H21" s="23"/>
      <c r="I21" s="23"/>
      <c r="J21" s="20" t="str">
        <f>IF(OR(H21="",I21=""),"",I21/H21)</f>
        <v/>
      </c>
      <c r="K21" s="24" t="s">
        <v>36</v>
      </c>
      <c r="L21" s="25"/>
      <c r="M21" s="20" t="str">
        <f>IF(I21="","",I21-F21)</f>
        <v/>
      </c>
      <c r="N21" s="26" t="str">
        <f>IF(I21="","",IFERROR(I21/F21,""))</f>
        <v/>
      </c>
      <c r="O21" s="3" t="str">
        <f>IF(I21="","Not Started",IF(I21&gt;=F21,"Complete","In Progress"))</f>
        <v>Not Started</v>
      </c>
      <c r="P21" s="3" t="s">
        <v>36</v>
      </c>
      <c r="Q21" s="26" t="s">
        <v>36</v>
      </c>
      <c r="R21" s="27" t="s">
        <v>38</v>
      </c>
    </row>
    <row r="22" ht="20" customHeight="1" spans="1:18" x14ac:dyDescent="0.25">
      <c r="A22" s="20">
        <v>21</v>
      </c>
      <c r="B22" s="21">
        <v>46294</v>
      </c>
      <c r="C22" s="3" t="str">
        <f>TEXT(B22,"mmm yyyy")</f>
        <v>Sep 2026</v>
      </c>
      <c r="D22" s="3" t="str">
        <f>TEXT(B22,"ddd")</f>
        <v>Tue</v>
      </c>
      <c r="E22" s="22">
        <v>3</v>
      </c>
      <c r="F22" s="22">
        <v>4.62</v>
      </c>
      <c r="G22" s="22">
        <f>IFERROR(F22/E22,0)</f>
        <v>1.54</v>
      </c>
      <c r="H22" s="23"/>
      <c r="I22" s="23"/>
      <c r="J22" s="20" t="str">
        <f>IF(OR(H22="",I22=""),"",I22/H22)</f>
        <v/>
      </c>
      <c r="K22" s="24" t="s">
        <v>36</v>
      </c>
      <c r="L22" s="25"/>
      <c r="M22" s="20" t="str">
        <f>IF(I22="","",I22-F22)</f>
        <v/>
      </c>
      <c r="N22" s="26" t="str">
        <f>IF(I22="","",IFERROR(I22/F22,""))</f>
        <v/>
      </c>
      <c r="O22" s="3" t="str">
        <f>IF(I22="","Not Started",IF(I22&gt;=F22,"Complete","In Progress"))</f>
        <v>Not Started</v>
      </c>
      <c r="P22" s="3" t="s">
        <v>36</v>
      </c>
      <c r="Q22" s="26" t="s">
        <v>36</v>
      </c>
      <c r="R22" s="27" t="s">
        <v>38</v>
      </c>
    </row>
    <row r="23" ht="20" customHeight="1" spans="1:18" x14ac:dyDescent="0.25">
      <c r="A23" s="20">
        <v>22</v>
      </c>
      <c r="B23" s="21">
        <v>46295</v>
      </c>
      <c r="C23" s="3" t="str">
        <f>TEXT(B23,"mmm yyyy")</f>
        <v>Sep 2026</v>
      </c>
      <c r="D23" s="3" t="str">
        <f>TEXT(B23,"ddd")</f>
        <v>Wed</v>
      </c>
      <c r="E23" s="22">
        <v>3</v>
      </c>
      <c r="F23" s="22">
        <v>4.62</v>
      </c>
      <c r="G23" s="22">
        <f>IFERROR(F23/E23,0)</f>
        <v>1.54</v>
      </c>
      <c r="H23" s="23"/>
      <c r="I23" s="23"/>
      <c r="J23" s="20" t="str">
        <f>IF(OR(H23="",I23=""),"",I23/H23)</f>
        <v/>
      </c>
      <c r="K23" s="24" t="s">
        <v>36</v>
      </c>
      <c r="L23" s="25"/>
      <c r="M23" s="20" t="str">
        <f>IF(I23="","",I23-F23)</f>
        <v/>
      </c>
      <c r="N23" s="26" t="str">
        <f>IF(I23="","",IFERROR(I23/F23,""))</f>
        <v/>
      </c>
      <c r="O23" s="3" t="str">
        <f>IF(I23="","Not Started",IF(I23&gt;=F23,"Complete","In Progress"))</f>
        <v>Not Started</v>
      </c>
      <c r="P23" s="3" t="s">
        <v>36</v>
      </c>
      <c r="Q23" s="26" t="s">
        <v>36</v>
      </c>
      <c r="R23" s="27" t="s">
        <v>38</v>
      </c>
    </row>
    <row r="24" ht="20" customHeight="1" spans="1:18" x14ac:dyDescent="0.25">
      <c r="A24" s="20">
        <v>23</v>
      </c>
      <c r="B24" s="21">
        <v>46296</v>
      </c>
      <c r="C24" s="3" t="str">
        <f>TEXT(B24,"mmm yyyy")</f>
        <v>Oct 2026</v>
      </c>
      <c r="D24" s="3" t="str">
        <f>TEXT(B24,"ddd")</f>
        <v>Thu</v>
      </c>
      <c r="E24" s="22">
        <v>3</v>
      </c>
      <c r="F24" s="22">
        <v>4.62</v>
      </c>
      <c r="G24" s="22">
        <f>IFERROR(F24/E24,0)</f>
        <v>1.54</v>
      </c>
      <c r="H24" s="23"/>
      <c r="I24" s="23"/>
      <c r="J24" s="20" t="str">
        <f>IF(OR(H24="",I24=""),"",I24/H24)</f>
        <v/>
      </c>
      <c r="K24" s="24" t="s">
        <v>36</v>
      </c>
      <c r="L24" s="25"/>
      <c r="M24" s="20" t="str">
        <f>IF(I24="","",I24-F24)</f>
        <v/>
      </c>
      <c r="N24" s="26" t="str">
        <f>IF(I24="","",IFERROR(I24/F24,""))</f>
        <v/>
      </c>
      <c r="O24" s="3" t="str">
        <f>IF(I24="","Not Started",IF(I24&gt;=F24,"Complete","In Progress"))</f>
        <v>Not Started</v>
      </c>
      <c r="P24" s="3" t="s">
        <v>36</v>
      </c>
      <c r="Q24" s="26" t="s">
        <v>36</v>
      </c>
      <c r="R24" s="27" t="s">
        <v>39</v>
      </c>
    </row>
    <row r="25" ht="20" customHeight="1" spans="1:18" x14ac:dyDescent="0.25">
      <c r="A25" s="20">
        <v>24</v>
      </c>
      <c r="B25" s="21">
        <v>46297</v>
      </c>
      <c r="C25" s="3" t="str">
        <f>TEXT(B25,"mmm yyyy")</f>
        <v>Oct 2026</v>
      </c>
      <c r="D25" s="3" t="str">
        <f>TEXT(B25,"ddd")</f>
        <v>Fri</v>
      </c>
      <c r="E25" s="22">
        <v>3</v>
      </c>
      <c r="F25" s="22">
        <v>4.62</v>
      </c>
      <c r="G25" s="22">
        <f>IFERROR(F25/E25,0)</f>
        <v>1.54</v>
      </c>
      <c r="H25" s="23"/>
      <c r="I25" s="23"/>
      <c r="J25" s="20" t="str">
        <f>IF(OR(H25="",I25=""),"",I25/H25)</f>
        <v/>
      </c>
      <c r="K25" s="24" t="s">
        <v>36</v>
      </c>
      <c r="L25" s="25"/>
      <c r="M25" s="20" t="str">
        <f>IF(I25="","",I25-F25)</f>
        <v/>
      </c>
      <c r="N25" s="26" t="str">
        <f>IF(I25="","",IFERROR(I25/F25,""))</f>
        <v/>
      </c>
      <c r="O25" s="3" t="str">
        <f>IF(I25="","Not Started",IF(I25&gt;=F25,"Complete","In Progress"))</f>
        <v>Not Started</v>
      </c>
      <c r="P25" s="3" t="s">
        <v>36</v>
      </c>
      <c r="Q25" s="26" t="s">
        <v>36</v>
      </c>
      <c r="R25" s="27" t="s">
        <v>39</v>
      </c>
    </row>
    <row r="26" ht="20" customHeight="1" spans="1:18" x14ac:dyDescent="0.25">
      <c r="A26" s="20">
        <v>25</v>
      </c>
      <c r="B26" s="21">
        <v>46300</v>
      </c>
      <c r="C26" s="3" t="str">
        <f>TEXT(B26,"mmm yyyy")</f>
        <v>Oct 2026</v>
      </c>
      <c r="D26" s="3" t="str">
        <f>TEXT(B26,"ddd")</f>
        <v>Mon</v>
      </c>
      <c r="E26" s="22">
        <v>3</v>
      </c>
      <c r="F26" s="22">
        <v>4.62</v>
      </c>
      <c r="G26" s="22">
        <f>IFERROR(F26/E26,0)</f>
        <v>1.54</v>
      </c>
      <c r="H26" s="23"/>
      <c r="I26" s="23"/>
      <c r="J26" s="20" t="str">
        <f>IF(OR(H26="",I26=""),"",I26/H26)</f>
        <v/>
      </c>
      <c r="K26" s="24" t="s">
        <v>36</v>
      </c>
      <c r="L26" s="25"/>
      <c r="M26" s="20" t="str">
        <f>IF(I26="","",I26-F26)</f>
        <v/>
      </c>
      <c r="N26" s="26" t="str">
        <f>IF(I26="","",IFERROR(I26/F26,""))</f>
        <v/>
      </c>
      <c r="O26" s="3" t="str">
        <f>IF(I26="","Not Started",IF(I26&gt;=F26,"Complete","In Progress"))</f>
        <v>Not Started</v>
      </c>
      <c r="P26" s="3" t="s">
        <v>36</v>
      </c>
      <c r="Q26" s="26" t="s">
        <v>36</v>
      </c>
      <c r="R26" s="27" t="s">
        <v>39</v>
      </c>
    </row>
    <row r="27" ht="20" customHeight="1" spans="1:18" x14ac:dyDescent="0.25">
      <c r="A27" s="20">
        <v>26</v>
      </c>
      <c r="B27" s="21">
        <v>46301</v>
      </c>
      <c r="C27" s="3" t="str">
        <f>TEXT(B27,"mmm yyyy")</f>
        <v>Oct 2026</v>
      </c>
      <c r="D27" s="3" t="str">
        <f>TEXT(B27,"ddd")</f>
        <v>Tue</v>
      </c>
      <c r="E27" s="22">
        <v>3</v>
      </c>
      <c r="F27" s="22">
        <v>4.62</v>
      </c>
      <c r="G27" s="22">
        <f>IFERROR(F27/E27,0)</f>
        <v>1.54</v>
      </c>
      <c r="H27" s="23"/>
      <c r="I27" s="23"/>
      <c r="J27" s="20" t="str">
        <f>IF(OR(H27="",I27=""),"",I27/H27)</f>
        <v/>
      </c>
      <c r="K27" s="24" t="s">
        <v>36</v>
      </c>
      <c r="L27" s="25"/>
      <c r="M27" s="20" t="str">
        <f>IF(I27="","",I27-F27)</f>
        <v/>
      </c>
      <c r="N27" s="26" t="str">
        <f>IF(I27="","",IFERROR(I27/F27,""))</f>
        <v/>
      </c>
      <c r="O27" s="3" t="str">
        <f>IF(I27="","Not Started",IF(I27&gt;=F27,"Complete","In Progress"))</f>
        <v>Not Started</v>
      </c>
      <c r="P27" s="3" t="s">
        <v>36</v>
      </c>
      <c r="Q27" s="26" t="s">
        <v>36</v>
      </c>
      <c r="R27" s="27" t="s">
        <v>39</v>
      </c>
    </row>
    <row r="28" ht="20" customHeight="1" spans="1:18" x14ac:dyDescent="0.25">
      <c r="A28" s="20">
        <v>27</v>
      </c>
      <c r="B28" s="21">
        <v>46302</v>
      </c>
      <c r="C28" s="3" t="str">
        <f>TEXT(B28,"mmm yyyy")</f>
        <v>Oct 2026</v>
      </c>
      <c r="D28" s="3" t="str">
        <f>TEXT(B28,"ddd")</f>
        <v>Wed</v>
      </c>
      <c r="E28" s="22">
        <v>3</v>
      </c>
      <c r="F28" s="22">
        <v>4.62</v>
      </c>
      <c r="G28" s="22">
        <f>IFERROR(F28/E28,0)</f>
        <v>1.54</v>
      </c>
      <c r="H28" s="23"/>
      <c r="I28" s="23"/>
      <c r="J28" s="20" t="str">
        <f>IF(OR(H28="",I28=""),"",I28/H28)</f>
        <v/>
      </c>
      <c r="K28" s="24" t="s">
        <v>36</v>
      </c>
      <c r="L28" s="25"/>
      <c r="M28" s="20" t="str">
        <f>IF(I28="","",I28-F28)</f>
        <v/>
      </c>
      <c r="N28" s="26" t="str">
        <f>IF(I28="","",IFERROR(I28/F28,""))</f>
        <v/>
      </c>
      <c r="O28" s="3" t="str">
        <f>IF(I28="","Not Started",IF(I28&gt;=F28,"Complete","In Progress"))</f>
        <v>Not Started</v>
      </c>
      <c r="P28" s="3" t="s">
        <v>36</v>
      </c>
      <c r="Q28" s="26" t="s">
        <v>36</v>
      </c>
      <c r="R28" s="27" t="s">
        <v>39</v>
      </c>
    </row>
    <row r="29" ht="20" customHeight="1" spans="1:18" x14ac:dyDescent="0.25">
      <c r="A29" s="20">
        <v>28</v>
      </c>
      <c r="B29" s="21">
        <v>46303</v>
      </c>
      <c r="C29" s="3" t="str">
        <f>TEXT(B29,"mmm yyyy")</f>
        <v>Oct 2026</v>
      </c>
      <c r="D29" s="3" t="str">
        <f>TEXT(B29,"ddd")</f>
        <v>Thu</v>
      </c>
      <c r="E29" s="22">
        <v>3</v>
      </c>
      <c r="F29" s="22">
        <v>4.62</v>
      </c>
      <c r="G29" s="22">
        <f>IFERROR(F29/E29,0)</f>
        <v>1.54</v>
      </c>
      <c r="H29" s="23"/>
      <c r="I29" s="23"/>
      <c r="J29" s="20" t="str">
        <f>IF(OR(H29="",I29=""),"",I29/H29)</f>
        <v/>
      </c>
      <c r="K29" s="24" t="s">
        <v>36</v>
      </c>
      <c r="L29" s="25"/>
      <c r="M29" s="20" t="str">
        <f>IF(I29="","",I29-F29)</f>
        <v/>
      </c>
      <c r="N29" s="26" t="str">
        <f>IF(I29="","",IFERROR(I29/F29,""))</f>
        <v/>
      </c>
      <c r="O29" s="3" t="str">
        <f>IF(I29="","Not Started",IF(I29&gt;=F29,"Complete","In Progress"))</f>
        <v>Not Started</v>
      </c>
      <c r="P29" s="3" t="s">
        <v>36</v>
      </c>
      <c r="Q29" s="26" t="s">
        <v>36</v>
      </c>
      <c r="R29" s="27" t="s">
        <v>39</v>
      </c>
    </row>
    <row r="30" ht="20" customHeight="1" spans="1:18" x14ac:dyDescent="0.25">
      <c r="A30" s="20">
        <v>29</v>
      </c>
      <c r="B30" s="21">
        <v>46304</v>
      </c>
      <c r="C30" s="3" t="str">
        <f>TEXT(B30,"mmm yyyy")</f>
        <v>Oct 2026</v>
      </c>
      <c r="D30" s="3" t="str">
        <f>TEXT(B30,"ddd")</f>
        <v>Fri</v>
      </c>
      <c r="E30" s="22">
        <v>3</v>
      </c>
      <c r="F30" s="22">
        <v>4.62</v>
      </c>
      <c r="G30" s="22">
        <f>IFERROR(F30/E30,0)</f>
        <v>1.54</v>
      </c>
      <c r="H30" s="23"/>
      <c r="I30" s="23"/>
      <c r="J30" s="20" t="str">
        <f>IF(OR(H30="",I30=""),"",I30/H30)</f>
        <v/>
      </c>
      <c r="K30" s="24" t="s">
        <v>36</v>
      </c>
      <c r="L30" s="25"/>
      <c r="M30" s="20" t="str">
        <f>IF(I30="","",I30-F30)</f>
        <v/>
      </c>
      <c r="N30" s="26" t="str">
        <f>IF(I30="","",IFERROR(I30/F30,""))</f>
        <v/>
      </c>
      <c r="O30" s="3" t="str">
        <f>IF(I30="","Not Started",IF(I30&gt;=F30,"Complete","In Progress"))</f>
        <v>Not Started</v>
      </c>
      <c r="P30" s="3" t="s">
        <v>36</v>
      </c>
      <c r="Q30" s="26" t="s">
        <v>36</v>
      </c>
      <c r="R30" s="27" t="s">
        <v>39</v>
      </c>
    </row>
    <row r="31" ht="20" customHeight="1" spans="1:18" x14ac:dyDescent="0.25">
      <c r="A31" s="20">
        <v>30</v>
      </c>
      <c r="B31" s="21">
        <v>46307</v>
      </c>
      <c r="C31" s="3" t="str">
        <f>TEXT(B31,"mmm yyyy")</f>
        <v>Oct 2026</v>
      </c>
      <c r="D31" s="3" t="str">
        <f>TEXT(B31,"ddd")</f>
        <v>Mon</v>
      </c>
      <c r="E31" s="22">
        <v>3</v>
      </c>
      <c r="F31" s="22">
        <v>4.62</v>
      </c>
      <c r="G31" s="22">
        <f>IFERROR(F31/E31,0)</f>
        <v>1.54</v>
      </c>
      <c r="H31" s="23"/>
      <c r="I31" s="23"/>
      <c r="J31" s="20" t="str">
        <f>IF(OR(H31="",I31=""),"",I31/H31)</f>
        <v/>
      </c>
      <c r="K31" s="24" t="s">
        <v>36</v>
      </c>
      <c r="L31" s="25"/>
      <c r="M31" s="20" t="str">
        <f>IF(I31="","",I31-F31)</f>
        <v/>
      </c>
      <c r="N31" s="26" t="str">
        <f>IF(I31="","",IFERROR(I31/F31,""))</f>
        <v/>
      </c>
      <c r="O31" s="3" t="str">
        <f>IF(I31="","Not Started",IF(I31&gt;=F31,"Complete","In Progress"))</f>
        <v>Not Started</v>
      </c>
      <c r="P31" s="3" t="s">
        <v>36</v>
      </c>
      <c r="Q31" s="26" t="s">
        <v>36</v>
      </c>
      <c r="R31" s="27" t="s">
        <v>39</v>
      </c>
    </row>
    <row r="32" ht="20" customHeight="1" spans="1:18" x14ac:dyDescent="0.25">
      <c r="A32" s="20">
        <v>31</v>
      </c>
      <c r="B32" s="21">
        <v>46308</v>
      </c>
      <c r="C32" s="3" t="str">
        <f>TEXT(B32,"mmm yyyy")</f>
        <v>Oct 2026</v>
      </c>
      <c r="D32" s="3" t="str">
        <f>TEXT(B32,"ddd")</f>
        <v>Tue</v>
      </c>
      <c r="E32" s="22">
        <v>3</v>
      </c>
      <c r="F32" s="22">
        <v>4.62</v>
      </c>
      <c r="G32" s="22">
        <f>IFERROR(F32/E32,0)</f>
        <v>1.54</v>
      </c>
      <c r="H32" s="23"/>
      <c r="I32" s="23"/>
      <c r="J32" s="20" t="str">
        <f>IF(OR(H32="",I32=""),"",I32/H32)</f>
        <v/>
      </c>
      <c r="K32" s="24" t="s">
        <v>36</v>
      </c>
      <c r="L32" s="25"/>
      <c r="M32" s="20" t="str">
        <f>IF(I32="","",I32-F32)</f>
        <v/>
      </c>
      <c r="N32" s="26" t="str">
        <f>IF(I32="","",IFERROR(I32/F32,""))</f>
        <v/>
      </c>
      <c r="O32" s="3" t="str">
        <f>IF(I32="","Not Started",IF(I32&gt;=F32,"Complete","In Progress"))</f>
        <v>Not Started</v>
      </c>
      <c r="P32" s="3" t="s">
        <v>36</v>
      </c>
      <c r="Q32" s="26" t="s">
        <v>36</v>
      </c>
      <c r="R32" s="27" t="s">
        <v>39</v>
      </c>
    </row>
    <row r="33" ht="20" customHeight="1" spans="1:18" x14ac:dyDescent="0.25">
      <c r="A33" s="20">
        <v>32</v>
      </c>
      <c r="B33" s="21">
        <v>46309</v>
      </c>
      <c r="C33" s="3" t="str">
        <f>TEXT(B33,"mmm yyyy")</f>
        <v>Oct 2026</v>
      </c>
      <c r="D33" s="3" t="str">
        <f>TEXT(B33,"ddd")</f>
        <v>Wed</v>
      </c>
      <c r="E33" s="22">
        <v>3</v>
      </c>
      <c r="F33" s="22">
        <v>4.62</v>
      </c>
      <c r="G33" s="22">
        <f>IFERROR(F33/E33,0)</f>
        <v>1.54</v>
      </c>
      <c r="H33" s="23"/>
      <c r="I33" s="23"/>
      <c r="J33" s="20" t="str">
        <f>IF(OR(H33="",I33=""),"",I33/H33)</f>
        <v/>
      </c>
      <c r="K33" s="24" t="s">
        <v>36</v>
      </c>
      <c r="L33" s="25"/>
      <c r="M33" s="20" t="str">
        <f>IF(I33="","",I33-F33)</f>
        <v/>
      </c>
      <c r="N33" s="26" t="str">
        <f>IF(I33="","",IFERROR(I33/F33,""))</f>
        <v/>
      </c>
      <c r="O33" s="3" t="str">
        <f>IF(I33="","Not Started",IF(I33&gt;=F33,"Complete","In Progress"))</f>
        <v>Not Started</v>
      </c>
      <c r="P33" s="3" t="s">
        <v>36</v>
      </c>
      <c r="Q33" s="26" t="s">
        <v>36</v>
      </c>
      <c r="R33" s="27" t="s">
        <v>39</v>
      </c>
    </row>
    <row r="34" ht="20" customHeight="1" spans="1:18" x14ac:dyDescent="0.25">
      <c r="A34" s="20">
        <v>33</v>
      </c>
      <c r="B34" s="21">
        <v>46310</v>
      </c>
      <c r="C34" s="3" t="str">
        <f>TEXT(B34,"mmm yyyy")</f>
        <v>Oct 2026</v>
      </c>
      <c r="D34" s="3" t="str">
        <f>TEXT(B34,"ddd")</f>
        <v>Thu</v>
      </c>
      <c r="E34" s="22">
        <v>3</v>
      </c>
      <c r="F34" s="22">
        <v>4.62</v>
      </c>
      <c r="G34" s="22">
        <f>IFERROR(F34/E34,0)</f>
        <v>1.54</v>
      </c>
      <c r="H34" s="23"/>
      <c r="I34" s="23"/>
      <c r="J34" s="20" t="str">
        <f>IF(OR(H34="",I34=""),"",I34/H34)</f>
        <v/>
      </c>
      <c r="K34" s="24" t="s">
        <v>36</v>
      </c>
      <c r="L34" s="25"/>
      <c r="M34" s="20" t="str">
        <f>IF(I34="","",I34-F34)</f>
        <v/>
      </c>
      <c r="N34" s="26" t="str">
        <f>IF(I34="","",IFERROR(I34/F34,""))</f>
        <v/>
      </c>
      <c r="O34" s="3" t="str">
        <f>IF(I34="","Not Started",IF(I34&gt;=F34,"Complete","In Progress"))</f>
        <v>Not Started</v>
      </c>
      <c r="P34" s="3" t="s">
        <v>36</v>
      </c>
      <c r="Q34" s="26" t="s">
        <v>36</v>
      </c>
      <c r="R34" s="27" t="s">
        <v>39</v>
      </c>
    </row>
    <row r="35" ht="20" customHeight="1" spans="1:18" x14ac:dyDescent="0.25">
      <c r="A35" s="20">
        <v>34</v>
      </c>
      <c r="B35" s="21">
        <v>46311</v>
      </c>
      <c r="C35" s="3" t="str">
        <f>TEXT(B35,"mmm yyyy")</f>
        <v>Oct 2026</v>
      </c>
      <c r="D35" s="3" t="str">
        <f>TEXT(B35,"ddd")</f>
        <v>Fri</v>
      </c>
      <c r="E35" s="22">
        <v>3</v>
      </c>
      <c r="F35" s="22">
        <v>4.62</v>
      </c>
      <c r="G35" s="22">
        <f>IFERROR(F35/E35,0)</f>
        <v>1.54</v>
      </c>
      <c r="H35" s="23"/>
      <c r="I35" s="23"/>
      <c r="J35" s="20" t="str">
        <f>IF(OR(H35="",I35=""),"",I35/H35)</f>
        <v/>
      </c>
      <c r="K35" s="24" t="s">
        <v>36</v>
      </c>
      <c r="L35" s="25"/>
      <c r="M35" s="20" t="str">
        <f>IF(I35="","",I35-F35)</f>
        <v/>
      </c>
      <c r="N35" s="26" t="str">
        <f>IF(I35="","",IFERROR(I35/F35,""))</f>
        <v/>
      </c>
      <c r="O35" s="3" t="str">
        <f>IF(I35="","Not Started",IF(I35&gt;=F35,"Complete","In Progress"))</f>
        <v>Not Started</v>
      </c>
      <c r="P35" s="3" t="s">
        <v>36</v>
      </c>
      <c r="Q35" s="26" t="s">
        <v>36</v>
      </c>
      <c r="R35" s="27" t="s">
        <v>39</v>
      </c>
    </row>
    <row r="36" ht="20" customHeight="1" spans="1:18" x14ac:dyDescent="0.25">
      <c r="A36" s="20">
        <v>35</v>
      </c>
      <c r="B36" s="21">
        <v>46314</v>
      </c>
      <c r="C36" s="3" t="str">
        <f>TEXT(B36,"mmm yyyy")</f>
        <v>Oct 2026</v>
      </c>
      <c r="D36" s="3" t="str">
        <f>TEXT(B36,"ddd")</f>
        <v>Mon</v>
      </c>
      <c r="E36" s="22">
        <v>3</v>
      </c>
      <c r="F36" s="22">
        <v>4.62</v>
      </c>
      <c r="G36" s="22">
        <f>IFERROR(F36/E36,0)</f>
        <v>1.54</v>
      </c>
      <c r="H36" s="23"/>
      <c r="I36" s="23"/>
      <c r="J36" s="20" t="str">
        <f>IF(OR(H36="",I36=""),"",I36/H36)</f>
        <v/>
      </c>
      <c r="K36" s="24" t="s">
        <v>36</v>
      </c>
      <c r="L36" s="25"/>
      <c r="M36" s="20" t="str">
        <f>IF(I36="","",I36-F36)</f>
        <v/>
      </c>
      <c r="N36" s="26" t="str">
        <f>IF(I36="","",IFERROR(I36/F36,""))</f>
        <v/>
      </c>
      <c r="O36" s="3" t="str">
        <f>IF(I36="","Not Started",IF(I36&gt;=F36,"Complete","In Progress"))</f>
        <v>Not Started</v>
      </c>
      <c r="P36" s="3" t="s">
        <v>36</v>
      </c>
      <c r="Q36" s="26" t="s">
        <v>36</v>
      </c>
      <c r="R36" s="27" t="s">
        <v>39</v>
      </c>
    </row>
    <row r="37" ht="20" customHeight="1" spans="1:18" x14ac:dyDescent="0.25">
      <c r="A37" s="20">
        <v>36</v>
      </c>
      <c r="B37" s="21">
        <v>46315</v>
      </c>
      <c r="C37" s="3" t="str">
        <f>TEXT(B37,"mmm yyyy")</f>
        <v>Oct 2026</v>
      </c>
      <c r="D37" s="3" t="str">
        <f>TEXT(B37,"ddd")</f>
        <v>Tue</v>
      </c>
      <c r="E37" s="22">
        <v>3</v>
      </c>
      <c r="F37" s="22">
        <v>4.61</v>
      </c>
      <c r="G37" s="22">
        <f>IFERROR(F37/E37,0)</f>
        <v>1.54</v>
      </c>
      <c r="H37" s="23"/>
      <c r="I37" s="23"/>
      <c r="J37" s="20" t="str">
        <f>IF(OR(H37="",I37=""),"",I37/H37)</f>
        <v/>
      </c>
      <c r="K37" s="24" t="s">
        <v>36</v>
      </c>
      <c r="L37" s="25"/>
      <c r="M37" s="20" t="str">
        <f>IF(I37="","",I37-F37)</f>
        <v/>
      </c>
      <c r="N37" s="26" t="str">
        <f>IF(I37="","",IFERROR(I37/F37,""))</f>
        <v/>
      </c>
      <c r="O37" s="3" t="str">
        <f>IF(I37="","Not Started",IF(I37&gt;=F37,"Complete","In Progress"))</f>
        <v>Not Started</v>
      </c>
      <c r="P37" s="3" t="s">
        <v>36</v>
      </c>
      <c r="Q37" s="26" t="s">
        <v>36</v>
      </c>
      <c r="R37" s="27" t="s">
        <v>39</v>
      </c>
    </row>
    <row r="38" ht="20" customHeight="1" spans="1:18" x14ac:dyDescent="0.25">
      <c r="A38" s="20">
        <v>37</v>
      </c>
      <c r="B38" s="21">
        <v>46316</v>
      </c>
      <c r="C38" s="3" t="str">
        <f>TEXT(B38,"mmm yyyy")</f>
        <v>Oct 2026</v>
      </c>
      <c r="D38" s="3" t="str">
        <f>TEXT(B38,"ddd")</f>
        <v>Wed</v>
      </c>
      <c r="E38" s="22">
        <v>3</v>
      </c>
      <c r="F38" s="22">
        <v>4.61</v>
      </c>
      <c r="G38" s="22">
        <f>IFERROR(F38/E38,0)</f>
        <v>1.54</v>
      </c>
      <c r="H38" s="23"/>
      <c r="I38" s="23"/>
      <c r="J38" s="20" t="str">
        <f>IF(OR(H38="",I38=""),"",I38/H38)</f>
        <v/>
      </c>
      <c r="K38" s="24" t="s">
        <v>36</v>
      </c>
      <c r="L38" s="25"/>
      <c r="M38" s="20" t="str">
        <f>IF(I38="","",I38-F38)</f>
        <v/>
      </c>
      <c r="N38" s="26" t="str">
        <f>IF(I38="","",IFERROR(I38/F38,""))</f>
        <v/>
      </c>
      <c r="O38" s="3" t="str">
        <f>IF(I38="","Not Started",IF(I38&gt;=F38,"Complete","In Progress"))</f>
        <v>Not Started</v>
      </c>
      <c r="P38" s="3" t="s">
        <v>36</v>
      </c>
      <c r="Q38" s="26" t="s">
        <v>36</v>
      </c>
      <c r="R38" s="27" t="s">
        <v>39</v>
      </c>
    </row>
    <row r="39" ht="20" customHeight="1" spans="1:18" x14ac:dyDescent="0.25">
      <c r="A39" s="20">
        <v>38</v>
      </c>
      <c r="B39" s="21">
        <v>46317</v>
      </c>
      <c r="C39" s="3" t="str">
        <f>TEXT(B39,"mmm yyyy")</f>
        <v>Oct 2026</v>
      </c>
      <c r="D39" s="3" t="str">
        <f>TEXT(B39,"ddd")</f>
        <v>Thu</v>
      </c>
      <c r="E39" s="22">
        <v>3</v>
      </c>
      <c r="F39" s="22">
        <v>4.61</v>
      </c>
      <c r="G39" s="22">
        <f>IFERROR(F39/E39,0)</f>
        <v>1.54</v>
      </c>
      <c r="H39" s="23"/>
      <c r="I39" s="23"/>
      <c r="J39" s="20" t="str">
        <f>IF(OR(H39="",I39=""),"",I39/H39)</f>
        <v/>
      </c>
      <c r="K39" s="24" t="s">
        <v>36</v>
      </c>
      <c r="L39" s="25"/>
      <c r="M39" s="20" t="str">
        <f>IF(I39="","",I39-F39)</f>
        <v/>
      </c>
      <c r="N39" s="26" t="str">
        <f>IF(I39="","",IFERROR(I39/F39,""))</f>
        <v/>
      </c>
      <c r="O39" s="3" t="str">
        <f>IF(I39="","Not Started",IF(I39&gt;=F39,"Complete","In Progress"))</f>
        <v>Not Started</v>
      </c>
      <c r="P39" s="3" t="s">
        <v>36</v>
      </c>
      <c r="Q39" s="26" t="s">
        <v>36</v>
      </c>
      <c r="R39" s="27" t="s">
        <v>39</v>
      </c>
    </row>
    <row r="40" ht="20" customHeight="1" spans="1:18" x14ac:dyDescent="0.25">
      <c r="A40" s="20">
        <v>39</v>
      </c>
      <c r="B40" s="21">
        <v>46318</v>
      </c>
      <c r="C40" s="3" t="str">
        <f>TEXT(B40,"mmm yyyy")</f>
        <v>Oct 2026</v>
      </c>
      <c r="D40" s="3" t="str">
        <f>TEXT(B40,"ddd")</f>
        <v>Fri</v>
      </c>
      <c r="E40" s="22">
        <v>3</v>
      </c>
      <c r="F40" s="22">
        <v>4.61</v>
      </c>
      <c r="G40" s="22">
        <f>IFERROR(F40/E40,0)</f>
        <v>1.54</v>
      </c>
      <c r="H40" s="23"/>
      <c r="I40" s="23"/>
      <c r="J40" s="20" t="str">
        <f>IF(OR(H40="",I40=""),"",I40/H40)</f>
        <v/>
      </c>
      <c r="K40" s="24" t="s">
        <v>36</v>
      </c>
      <c r="L40" s="25"/>
      <c r="M40" s="20" t="str">
        <f>IF(I40="","",I40-F40)</f>
        <v/>
      </c>
      <c r="N40" s="26" t="str">
        <f>IF(I40="","",IFERROR(I40/F40,""))</f>
        <v/>
      </c>
      <c r="O40" s="3" t="str">
        <f>IF(I40="","Not Started",IF(I40&gt;=F40,"Complete","In Progress"))</f>
        <v>Not Started</v>
      </c>
      <c r="P40" s="3" t="s">
        <v>36</v>
      </c>
      <c r="Q40" s="26" t="s">
        <v>36</v>
      </c>
      <c r="R40" s="27" t="s">
        <v>39</v>
      </c>
    </row>
    <row r="41" ht="20" customHeight="1" spans="1:18" x14ac:dyDescent="0.25">
      <c r="A41" s="20">
        <v>40</v>
      </c>
      <c r="B41" s="21">
        <v>46321</v>
      </c>
      <c r="C41" s="3" t="str">
        <f>TEXT(B41,"mmm yyyy")</f>
        <v>Oct 2026</v>
      </c>
      <c r="D41" s="3" t="str">
        <f>TEXT(B41,"ddd")</f>
        <v>Mon</v>
      </c>
      <c r="E41" s="22">
        <v>3</v>
      </c>
      <c r="F41" s="22">
        <v>4.61</v>
      </c>
      <c r="G41" s="22">
        <f>IFERROR(F41/E41,0)</f>
        <v>1.54</v>
      </c>
      <c r="H41" s="23"/>
      <c r="I41" s="23"/>
      <c r="J41" s="20" t="str">
        <f>IF(OR(H41="",I41=""),"",I41/H41)</f>
        <v/>
      </c>
      <c r="K41" s="24" t="s">
        <v>36</v>
      </c>
      <c r="L41" s="25"/>
      <c r="M41" s="20" t="str">
        <f>IF(I41="","",I41-F41)</f>
        <v/>
      </c>
      <c r="N41" s="26" t="str">
        <f>IF(I41="","",IFERROR(I41/F41,""))</f>
        <v/>
      </c>
      <c r="O41" s="3" t="str">
        <f>IF(I41="","Not Started",IF(I41&gt;=F41,"Complete","In Progress"))</f>
        <v>Not Started</v>
      </c>
      <c r="P41" s="3" t="s">
        <v>36</v>
      </c>
      <c r="Q41" s="26" t="s">
        <v>36</v>
      </c>
      <c r="R41" s="27" t="s">
        <v>39</v>
      </c>
    </row>
    <row r="42" ht="20" customHeight="1" spans="1:18" x14ac:dyDescent="0.25">
      <c r="A42" s="20">
        <v>41</v>
      </c>
      <c r="B42" s="21">
        <v>46322</v>
      </c>
      <c r="C42" s="3" t="str">
        <f>TEXT(B42,"mmm yyyy")</f>
        <v>Oct 2026</v>
      </c>
      <c r="D42" s="3" t="str">
        <f>TEXT(B42,"ddd")</f>
        <v>Tue</v>
      </c>
      <c r="E42" s="22">
        <v>3</v>
      </c>
      <c r="F42" s="22">
        <v>4.61</v>
      </c>
      <c r="G42" s="22">
        <f>IFERROR(F42/E42,0)</f>
        <v>1.54</v>
      </c>
      <c r="H42" s="23"/>
      <c r="I42" s="23"/>
      <c r="J42" s="20" t="str">
        <f>IF(OR(H42="",I42=""),"",I42/H42)</f>
        <v/>
      </c>
      <c r="K42" s="24" t="s">
        <v>36</v>
      </c>
      <c r="L42" s="25"/>
      <c r="M42" s="20" t="str">
        <f>IF(I42="","",I42-F42)</f>
        <v/>
      </c>
      <c r="N42" s="26" t="str">
        <f>IF(I42="","",IFERROR(I42/F42,""))</f>
        <v/>
      </c>
      <c r="O42" s="3" t="str">
        <f>IF(I42="","Not Started",IF(I42&gt;=F42,"Complete","In Progress"))</f>
        <v>Not Started</v>
      </c>
      <c r="P42" s="3" t="s">
        <v>36</v>
      </c>
      <c r="Q42" s="26" t="s">
        <v>36</v>
      </c>
      <c r="R42" s="27" t="s">
        <v>39</v>
      </c>
    </row>
    <row r="43" ht="20" customHeight="1" spans="1:18" x14ac:dyDescent="0.25">
      <c r="A43" s="20">
        <v>42</v>
      </c>
      <c r="B43" s="21">
        <v>46323</v>
      </c>
      <c r="C43" s="3" t="str">
        <f>TEXT(B43,"mmm yyyy")</f>
        <v>Oct 2026</v>
      </c>
      <c r="D43" s="3" t="str">
        <f>TEXT(B43,"ddd")</f>
        <v>Wed</v>
      </c>
      <c r="E43" s="22">
        <v>3</v>
      </c>
      <c r="F43" s="22">
        <v>4.61</v>
      </c>
      <c r="G43" s="22">
        <f>IFERROR(F43/E43,0)</f>
        <v>1.54</v>
      </c>
      <c r="H43" s="23"/>
      <c r="I43" s="23"/>
      <c r="J43" s="20" t="str">
        <f>IF(OR(H43="",I43=""),"",I43/H43)</f>
        <v/>
      </c>
      <c r="K43" s="24" t="s">
        <v>36</v>
      </c>
      <c r="L43" s="25"/>
      <c r="M43" s="20" t="str">
        <f>IF(I43="","",I43-F43)</f>
        <v/>
      </c>
      <c r="N43" s="26" t="str">
        <f>IF(I43="","",IFERROR(I43/F43,""))</f>
        <v/>
      </c>
      <c r="O43" s="3" t="str">
        <f>IF(I43="","Not Started",IF(I43&gt;=F43,"Complete","In Progress"))</f>
        <v>Not Started</v>
      </c>
      <c r="P43" s="3" t="s">
        <v>36</v>
      </c>
      <c r="Q43" s="26" t="s">
        <v>36</v>
      </c>
      <c r="R43" s="27" t="s">
        <v>39</v>
      </c>
    </row>
    <row r="44" ht="20" customHeight="1" spans="1:18" x14ac:dyDescent="0.25">
      <c r="A44" s="20">
        <v>43</v>
      </c>
      <c r="B44" s="21">
        <v>46324</v>
      </c>
      <c r="C44" s="3" t="str">
        <f>TEXT(B44,"mmm yyyy")</f>
        <v>Oct 2026</v>
      </c>
      <c r="D44" s="3" t="str">
        <f>TEXT(B44,"ddd")</f>
        <v>Thu</v>
      </c>
      <c r="E44" s="22">
        <v>3</v>
      </c>
      <c r="F44" s="22">
        <v>4.61</v>
      </c>
      <c r="G44" s="22">
        <f>IFERROR(F44/E44,0)</f>
        <v>1.54</v>
      </c>
      <c r="H44" s="23"/>
      <c r="I44" s="23"/>
      <c r="J44" s="20" t="str">
        <f>IF(OR(H44="",I44=""),"",I44/H44)</f>
        <v/>
      </c>
      <c r="K44" s="24" t="s">
        <v>36</v>
      </c>
      <c r="L44" s="25"/>
      <c r="M44" s="20" t="str">
        <f>IF(I44="","",I44-F44)</f>
        <v/>
      </c>
      <c r="N44" s="26" t="str">
        <f>IF(I44="","",IFERROR(I44/F44,""))</f>
        <v/>
      </c>
      <c r="O44" s="3" t="str">
        <f>IF(I44="","Not Started",IF(I44&gt;=F44,"Complete","In Progress"))</f>
        <v>Not Started</v>
      </c>
      <c r="P44" s="3" t="s">
        <v>36</v>
      </c>
      <c r="Q44" s="26" t="s">
        <v>36</v>
      </c>
      <c r="R44" s="27" t="s">
        <v>39</v>
      </c>
    </row>
    <row r="45" ht="20" customHeight="1" spans="1:18" x14ac:dyDescent="0.25">
      <c r="A45" s="20">
        <v>44</v>
      </c>
      <c r="B45" s="21">
        <v>46325</v>
      </c>
      <c r="C45" s="3" t="str">
        <f>TEXT(B45,"mmm yyyy")</f>
        <v>Oct 2026</v>
      </c>
      <c r="D45" s="3" t="str">
        <f>TEXT(B45,"ddd")</f>
        <v>Fri</v>
      </c>
      <c r="E45" s="22">
        <v>3</v>
      </c>
      <c r="F45" s="22">
        <v>4.61</v>
      </c>
      <c r="G45" s="22">
        <f>IFERROR(F45/E45,0)</f>
        <v>1.54</v>
      </c>
      <c r="H45" s="23"/>
      <c r="I45" s="23"/>
      <c r="J45" s="20" t="str">
        <f>IF(OR(H45="",I45=""),"",I45/H45)</f>
        <v/>
      </c>
      <c r="K45" s="24" t="s">
        <v>36</v>
      </c>
      <c r="L45" s="25"/>
      <c r="M45" s="20" t="str">
        <f>IF(I45="","",I45-F45)</f>
        <v/>
      </c>
      <c r="N45" s="26" t="str">
        <f>IF(I45="","",IFERROR(I45/F45,""))</f>
        <v/>
      </c>
      <c r="O45" s="3" t="str">
        <f>IF(I45="","Not Started",IF(I45&gt;=F45,"Complete","In Progress"))</f>
        <v>Not Started</v>
      </c>
      <c r="P45" s="3" t="s">
        <v>36</v>
      </c>
      <c r="Q45" s="26" t="s">
        <v>36</v>
      </c>
      <c r="R45" s="27" t="s">
        <v>39</v>
      </c>
    </row>
    <row r="46" ht="20" customHeight="1" spans="1:18" x14ac:dyDescent="0.25">
      <c r="A46" s="20">
        <v>45</v>
      </c>
      <c r="B46" s="21">
        <v>46328</v>
      </c>
      <c r="C46" s="3" t="str">
        <f>TEXT(B46,"mmm yyyy")</f>
        <v>Nov 2026</v>
      </c>
      <c r="D46" s="3" t="str">
        <f>TEXT(B46,"ddd")</f>
        <v>Mon</v>
      </c>
      <c r="E46" s="22">
        <v>3</v>
      </c>
      <c r="F46" s="22">
        <v>4.61</v>
      </c>
      <c r="G46" s="22">
        <f>IFERROR(F46/E46,0)</f>
        <v>1.54</v>
      </c>
      <c r="H46" s="23"/>
      <c r="I46" s="23"/>
      <c r="J46" s="20" t="str">
        <f>IF(OR(H46="",I46=""),"",I46/H46)</f>
        <v/>
      </c>
      <c r="K46" s="24" t="s">
        <v>36</v>
      </c>
      <c r="L46" s="25"/>
      <c r="M46" s="20" t="str">
        <f>IF(I46="","",I46-F46)</f>
        <v/>
      </c>
      <c r="N46" s="26" t="str">
        <f>IF(I46="","",IFERROR(I46/F46,""))</f>
        <v/>
      </c>
      <c r="O46" s="3" t="str">
        <f>IF(I46="","Not Started",IF(I46&gt;=F46,"Complete","In Progress"))</f>
        <v>Not Started</v>
      </c>
      <c r="P46" s="3" t="s">
        <v>36</v>
      </c>
      <c r="Q46" s="26" t="s">
        <v>36</v>
      </c>
      <c r="R46" s="27" t="s">
        <v>40</v>
      </c>
    </row>
    <row r="47" ht="20" customHeight="1" spans="1:18" x14ac:dyDescent="0.25">
      <c r="A47" s="20">
        <v>46</v>
      </c>
      <c r="B47" s="21">
        <v>46329</v>
      </c>
      <c r="C47" s="3" t="str">
        <f>TEXT(B47,"mmm yyyy")</f>
        <v>Nov 2026</v>
      </c>
      <c r="D47" s="3" t="str">
        <f>TEXT(B47,"ddd")</f>
        <v>Tue</v>
      </c>
      <c r="E47" s="22">
        <v>3</v>
      </c>
      <c r="F47" s="22">
        <v>4.61</v>
      </c>
      <c r="G47" s="22">
        <f>IFERROR(F47/E47,0)</f>
        <v>1.54</v>
      </c>
      <c r="H47" s="23"/>
      <c r="I47" s="23"/>
      <c r="J47" s="20" t="str">
        <f>IF(OR(H47="",I47=""),"",I47/H47)</f>
        <v/>
      </c>
      <c r="K47" s="24" t="s">
        <v>36</v>
      </c>
      <c r="L47" s="25"/>
      <c r="M47" s="20" t="str">
        <f>IF(I47="","",I47-F47)</f>
        <v/>
      </c>
      <c r="N47" s="26" t="str">
        <f>IF(I47="","",IFERROR(I47/F47,""))</f>
        <v/>
      </c>
      <c r="O47" s="3" t="str">
        <f>IF(I47="","Not Started",IF(I47&gt;=F47,"Complete","In Progress"))</f>
        <v>Not Started</v>
      </c>
      <c r="P47" s="3" t="s">
        <v>36</v>
      </c>
      <c r="Q47" s="26" t="s">
        <v>36</v>
      </c>
      <c r="R47" s="27" t="s">
        <v>41</v>
      </c>
    </row>
    <row r="48" ht="20" customHeight="1" spans="1:18" x14ac:dyDescent="0.25">
      <c r="A48" s="20">
        <v>47</v>
      </c>
      <c r="B48" s="21">
        <v>46330</v>
      </c>
      <c r="C48" s="3" t="str">
        <f>TEXT(B48,"mmm yyyy")</f>
        <v>Nov 2026</v>
      </c>
      <c r="D48" s="3" t="str">
        <f>TEXT(B48,"ddd")</f>
        <v>Wed</v>
      </c>
      <c r="E48" s="22">
        <v>3</v>
      </c>
      <c r="F48" s="22">
        <v>4.61</v>
      </c>
      <c r="G48" s="22">
        <f>IFERROR(F48/E48,0)</f>
        <v>1.54</v>
      </c>
      <c r="H48" s="23"/>
      <c r="I48" s="23"/>
      <c r="J48" s="20" t="str">
        <f>IF(OR(H48="",I48=""),"",I48/H48)</f>
        <v/>
      </c>
      <c r="K48" s="24" t="s">
        <v>36</v>
      </c>
      <c r="L48" s="25"/>
      <c r="M48" s="20" t="str">
        <f>IF(I48="","",I48-F48)</f>
        <v/>
      </c>
      <c r="N48" s="26" t="str">
        <f>IF(I48="","",IFERROR(I48/F48,""))</f>
        <v/>
      </c>
      <c r="O48" s="3" t="str">
        <f>IF(I48="","Not Started",IF(I48&gt;=F48,"Complete","In Progress"))</f>
        <v>Not Started</v>
      </c>
      <c r="P48" s="3" t="s">
        <v>36</v>
      </c>
      <c r="Q48" s="26" t="s">
        <v>36</v>
      </c>
      <c r="R48" s="27" t="s">
        <v>41</v>
      </c>
    </row>
    <row r="49" ht="20" customHeight="1" spans="1:18" x14ac:dyDescent="0.25">
      <c r="A49" s="20">
        <v>48</v>
      </c>
      <c r="B49" s="21">
        <v>46331</v>
      </c>
      <c r="C49" s="3" t="str">
        <f>TEXT(B49,"mmm yyyy")</f>
        <v>Nov 2026</v>
      </c>
      <c r="D49" s="3" t="str">
        <f>TEXT(B49,"ddd")</f>
        <v>Thu</v>
      </c>
      <c r="E49" s="22">
        <v>3</v>
      </c>
      <c r="F49" s="22">
        <v>4.61</v>
      </c>
      <c r="G49" s="22">
        <f>IFERROR(F49/E49,0)</f>
        <v>1.54</v>
      </c>
      <c r="H49" s="23"/>
      <c r="I49" s="23"/>
      <c r="J49" s="20" t="str">
        <f>IF(OR(H49="",I49=""),"",I49/H49)</f>
        <v/>
      </c>
      <c r="K49" s="24" t="s">
        <v>36</v>
      </c>
      <c r="L49" s="25"/>
      <c r="M49" s="20" t="str">
        <f>IF(I49="","",I49-F49)</f>
        <v/>
      </c>
      <c r="N49" s="26" t="str">
        <f>IF(I49="","",IFERROR(I49/F49,""))</f>
        <v/>
      </c>
      <c r="O49" s="3" t="str">
        <f>IF(I49="","Not Started",IF(I49&gt;=F49,"Complete","In Progress"))</f>
        <v>Not Started</v>
      </c>
      <c r="P49" s="3" t="s">
        <v>36</v>
      </c>
      <c r="Q49" s="26" t="s">
        <v>36</v>
      </c>
      <c r="R49" s="27" t="s">
        <v>41</v>
      </c>
    </row>
    <row r="50" ht="20" customHeight="1" spans="1:18" x14ac:dyDescent="0.25">
      <c r="A50" s="20">
        <v>49</v>
      </c>
      <c r="B50" s="21">
        <v>46332</v>
      </c>
      <c r="C50" s="3" t="str">
        <f>TEXT(B50,"mmm yyyy")</f>
        <v>Nov 2026</v>
      </c>
      <c r="D50" s="3" t="str">
        <f>TEXT(B50,"ddd")</f>
        <v>Fri</v>
      </c>
      <c r="E50" s="22">
        <v>3</v>
      </c>
      <c r="F50" s="22">
        <v>4.61</v>
      </c>
      <c r="G50" s="22">
        <f>IFERROR(F50/E50,0)</f>
        <v>1.54</v>
      </c>
      <c r="H50" s="23"/>
      <c r="I50" s="23"/>
      <c r="J50" s="20" t="str">
        <f>IF(OR(H50="",I50=""),"",I50/H50)</f>
        <v/>
      </c>
      <c r="K50" s="24" t="s">
        <v>36</v>
      </c>
      <c r="L50" s="25"/>
      <c r="M50" s="20" t="str">
        <f>IF(I50="","",I50-F50)</f>
        <v/>
      </c>
      <c r="N50" s="26" t="str">
        <f>IF(I50="","",IFERROR(I50/F50,""))</f>
        <v/>
      </c>
      <c r="O50" s="3" t="str">
        <f>IF(I50="","Not Started",IF(I50&gt;=F50,"Complete","In Progress"))</f>
        <v>Not Started</v>
      </c>
      <c r="P50" s="3" t="s">
        <v>36</v>
      </c>
      <c r="Q50" s="26" t="s">
        <v>36</v>
      </c>
      <c r="R50" s="27" t="s">
        <v>41</v>
      </c>
    </row>
    <row r="51" ht="20" customHeight="1" spans="1:18" x14ac:dyDescent="0.25">
      <c r="A51" s="20">
        <v>50</v>
      </c>
      <c r="B51" s="21">
        <v>46335</v>
      </c>
      <c r="C51" s="3" t="str">
        <f>TEXT(B51,"mmm yyyy")</f>
        <v>Nov 2026</v>
      </c>
      <c r="D51" s="3" t="str">
        <f>TEXT(B51,"ddd")</f>
        <v>Mon</v>
      </c>
      <c r="E51" s="22">
        <v>3</v>
      </c>
      <c r="F51" s="22">
        <v>4.61</v>
      </c>
      <c r="G51" s="22">
        <f>IFERROR(F51/E51,0)</f>
        <v>1.54</v>
      </c>
      <c r="H51" s="23"/>
      <c r="I51" s="23"/>
      <c r="J51" s="20" t="str">
        <f>IF(OR(H51="",I51=""),"",I51/H51)</f>
        <v/>
      </c>
      <c r="K51" s="24" t="s">
        <v>36</v>
      </c>
      <c r="L51" s="25"/>
      <c r="M51" s="20" t="str">
        <f>IF(I51="","",I51-F51)</f>
        <v/>
      </c>
      <c r="N51" s="26" t="str">
        <f>IF(I51="","",IFERROR(I51/F51,""))</f>
        <v/>
      </c>
      <c r="O51" s="3" t="str">
        <f>IF(I51="","Not Started",IF(I51&gt;=F51,"Complete","In Progress"))</f>
        <v>Not Started</v>
      </c>
      <c r="P51" s="3" t="s">
        <v>36</v>
      </c>
      <c r="Q51" s="26" t="s">
        <v>36</v>
      </c>
      <c r="R51" s="27" t="s">
        <v>41</v>
      </c>
    </row>
    <row r="52" ht="20" customHeight="1" spans="1:18" x14ac:dyDescent="0.25">
      <c r="A52" s="20">
        <v>51</v>
      </c>
      <c r="B52" s="21">
        <v>46336</v>
      </c>
      <c r="C52" s="3" t="str">
        <f>TEXT(B52,"mmm yyyy")</f>
        <v>Nov 2026</v>
      </c>
      <c r="D52" s="3" t="str">
        <f>TEXT(B52,"ddd")</f>
        <v>Tue</v>
      </c>
      <c r="E52" s="22">
        <v>3</v>
      </c>
      <c r="F52" s="22">
        <v>4.61</v>
      </c>
      <c r="G52" s="22">
        <f>IFERROR(F52/E52,0)</f>
        <v>1.54</v>
      </c>
      <c r="H52" s="23"/>
      <c r="I52" s="23"/>
      <c r="J52" s="20" t="str">
        <f>IF(OR(H52="",I52=""),"",I52/H52)</f>
        <v/>
      </c>
      <c r="K52" s="24" t="s">
        <v>36</v>
      </c>
      <c r="L52" s="25"/>
      <c r="M52" s="20" t="str">
        <f>IF(I52="","",I52-F52)</f>
        <v/>
      </c>
      <c r="N52" s="26" t="str">
        <f>IF(I52="","",IFERROR(I52/F52,""))</f>
        <v/>
      </c>
      <c r="O52" s="3" t="str">
        <f>IF(I52="","Not Started",IF(I52&gt;=F52,"Complete","In Progress"))</f>
        <v>Not Started</v>
      </c>
      <c r="P52" s="3" t="s">
        <v>36</v>
      </c>
      <c r="Q52" s="26" t="s">
        <v>36</v>
      </c>
      <c r="R52" s="27" t="s">
        <v>41</v>
      </c>
    </row>
    <row r="53" ht="20" customHeight="1" spans="1:18" x14ac:dyDescent="0.25">
      <c r="A53" s="20">
        <v>52</v>
      </c>
      <c r="B53" s="21">
        <v>46337</v>
      </c>
      <c r="C53" s="3" t="str">
        <f>TEXT(B53,"mmm yyyy")</f>
        <v>Nov 2026</v>
      </c>
      <c r="D53" s="3" t="str">
        <f>TEXT(B53,"ddd")</f>
        <v>Wed</v>
      </c>
      <c r="E53" s="22">
        <v>3</v>
      </c>
      <c r="F53" s="22">
        <v>4.61</v>
      </c>
      <c r="G53" s="22">
        <f>IFERROR(F53/E53,0)</f>
        <v>1.54</v>
      </c>
      <c r="H53" s="23"/>
      <c r="I53" s="23"/>
      <c r="J53" s="20" t="str">
        <f>IF(OR(H53="",I53=""),"",I53/H53)</f>
        <v/>
      </c>
      <c r="K53" s="24" t="s">
        <v>36</v>
      </c>
      <c r="L53" s="25"/>
      <c r="M53" s="20" t="str">
        <f>IF(I53="","",I53-F53)</f>
        <v/>
      </c>
      <c r="N53" s="26" t="str">
        <f>IF(I53="","",IFERROR(I53/F53,""))</f>
        <v/>
      </c>
      <c r="O53" s="3" t="str">
        <f>IF(I53="","Not Started",IF(I53&gt;=F53,"Complete","In Progress"))</f>
        <v>Not Started</v>
      </c>
      <c r="P53" s="3" t="s">
        <v>36</v>
      </c>
      <c r="Q53" s="26" t="s">
        <v>36</v>
      </c>
      <c r="R53" s="27" t="s">
        <v>41</v>
      </c>
    </row>
    <row r="54" ht="20" customHeight="1" spans="1:18" x14ac:dyDescent="0.25">
      <c r="A54" s="20">
        <v>53</v>
      </c>
      <c r="B54" s="21">
        <v>46338</v>
      </c>
      <c r="C54" s="3" t="str">
        <f>TEXT(B54,"mmm yyyy")</f>
        <v>Nov 2026</v>
      </c>
      <c r="D54" s="3" t="str">
        <f>TEXT(B54,"ddd")</f>
        <v>Thu</v>
      </c>
      <c r="E54" s="22">
        <v>3</v>
      </c>
      <c r="F54" s="22">
        <v>4.61</v>
      </c>
      <c r="G54" s="22">
        <f>IFERROR(F54/E54,0)</f>
        <v>1.54</v>
      </c>
      <c r="H54" s="23"/>
      <c r="I54" s="23"/>
      <c r="J54" s="20" t="str">
        <f>IF(OR(H54="",I54=""),"",I54/H54)</f>
        <v/>
      </c>
      <c r="K54" s="24" t="s">
        <v>36</v>
      </c>
      <c r="L54" s="25"/>
      <c r="M54" s="20" t="str">
        <f>IF(I54="","",I54-F54)</f>
        <v/>
      </c>
      <c r="N54" s="26" t="str">
        <f>IF(I54="","",IFERROR(I54/F54,""))</f>
        <v/>
      </c>
      <c r="O54" s="3" t="str">
        <f>IF(I54="","Not Started",IF(I54&gt;=F54,"Complete","In Progress"))</f>
        <v>Not Started</v>
      </c>
      <c r="P54" s="3" t="s">
        <v>36</v>
      </c>
      <c r="Q54" s="26" t="s">
        <v>36</v>
      </c>
      <c r="R54" s="27" t="s">
        <v>41</v>
      </c>
    </row>
    <row r="55" ht="20" customHeight="1" spans="1:18" x14ac:dyDescent="0.25">
      <c r="A55" s="20">
        <v>54</v>
      </c>
      <c r="B55" s="21">
        <v>46339</v>
      </c>
      <c r="C55" s="3" t="str">
        <f>TEXT(B55,"mmm yyyy")</f>
        <v>Nov 2026</v>
      </c>
      <c r="D55" s="3" t="str">
        <f>TEXT(B55,"ddd")</f>
        <v>Fri</v>
      </c>
      <c r="E55" s="22">
        <v>3</v>
      </c>
      <c r="F55" s="22">
        <v>4.61</v>
      </c>
      <c r="G55" s="22">
        <f>IFERROR(F55/E55,0)</f>
        <v>1.54</v>
      </c>
      <c r="H55" s="23"/>
      <c r="I55" s="23"/>
      <c r="J55" s="20" t="str">
        <f>IF(OR(H55="",I55=""),"",I55/H55)</f>
        <v/>
      </c>
      <c r="K55" s="24" t="s">
        <v>36</v>
      </c>
      <c r="L55" s="25"/>
      <c r="M55" s="20" t="str">
        <f>IF(I55="","",I55-F55)</f>
        <v/>
      </c>
      <c r="N55" s="26" t="str">
        <f>IF(I55="","",IFERROR(I55/F55,""))</f>
        <v/>
      </c>
      <c r="O55" s="3" t="str">
        <f>IF(I55="","Not Started",IF(I55&gt;=F55,"Complete","In Progress"))</f>
        <v>Not Started</v>
      </c>
      <c r="P55" s="3" t="s">
        <v>36</v>
      </c>
      <c r="Q55" s="26" t="s">
        <v>36</v>
      </c>
      <c r="R55" s="27" t="s">
        <v>41</v>
      </c>
    </row>
    <row r="56" ht="20" customHeight="1" spans="1:18" x14ac:dyDescent="0.25">
      <c r="A56" s="20">
        <v>55</v>
      </c>
      <c r="B56" s="21">
        <v>46342</v>
      </c>
      <c r="C56" s="3" t="str">
        <f>TEXT(B56,"mmm yyyy")</f>
        <v>Nov 2026</v>
      </c>
      <c r="D56" s="3" t="str">
        <f>TEXT(B56,"ddd")</f>
        <v>Mon</v>
      </c>
      <c r="E56" s="22">
        <v>3</v>
      </c>
      <c r="F56" s="22">
        <v>4.61</v>
      </c>
      <c r="G56" s="22">
        <f>IFERROR(F56/E56,0)</f>
        <v>1.54</v>
      </c>
      <c r="H56" s="23"/>
      <c r="I56" s="23"/>
      <c r="J56" s="20" t="str">
        <f>IF(OR(H56="",I56=""),"",I56/H56)</f>
        <v/>
      </c>
      <c r="K56" s="24" t="s">
        <v>36</v>
      </c>
      <c r="L56" s="25"/>
      <c r="M56" s="20" t="str">
        <f>IF(I56="","",I56-F56)</f>
        <v/>
      </c>
      <c r="N56" s="26" t="str">
        <f>IF(I56="","",IFERROR(I56/F56,""))</f>
        <v/>
      </c>
      <c r="O56" s="3" t="str">
        <f>IF(I56="","Not Started",IF(I56&gt;=F56,"Complete","In Progress"))</f>
        <v>Not Started</v>
      </c>
      <c r="P56" s="3" t="s">
        <v>36</v>
      </c>
      <c r="Q56" s="26" t="s">
        <v>36</v>
      </c>
      <c r="R56" s="27" t="s">
        <v>41</v>
      </c>
    </row>
    <row r="57" ht="20" customHeight="1" spans="1:18" x14ac:dyDescent="0.25">
      <c r="A57" s="20">
        <v>56</v>
      </c>
      <c r="B57" s="21">
        <v>46343</v>
      </c>
      <c r="C57" s="3" t="str">
        <f>TEXT(B57,"mmm yyyy")</f>
        <v>Nov 2026</v>
      </c>
      <c r="D57" s="3" t="str">
        <f>TEXT(B57,"ddd")</f>
        <v>Tue</v>
      </c>
      <c r="E57" s="22">
        <v>3</v>
      </c>
      <c r="F57" s="22">
        <v>4.61</v>
      </c>
      <c r="G57" s="22">
        <f>IFERROR(F57/E57,0)</f>
        <v>1.54</v>
      </c>
      <c r="H57" s="23"/>
      <c r="I57" s="23"/>
      <c r="J57" s="20" t="str">
        <f>IF(OR(H57="",I57=""),"",I57/H57)</f>
        <v/>
      </c>
      <c r="K57" s="24" t="s">
        <v>36</v>
      </c>
      <c r="L57" s="25"/>
      <c r="M57" s="20" t="str">
        <f>IF(I57="","",I57-F57)</f>
        <v/>
      </c>
      <c r="N57" s="26" t="str">
        <f>IF(I57="","",IFERROR(I57/F57,""))</f>
        <v/>
      </c>
      <c r="O57" s="3" t="str">
        <f>IF(I57="","Not Started",IF(I57&gt;=F57,"Complete","In Progress"))</f>
        <v>Not Started</v>
      </c>
      <c r="P57" s="3" t="s">
        <v>36</v>
      </c>
      <c r="Q57" s="26" t="s">
        <v>36</v>
      </c>
      <c r="R57" s="27" t="s">
        <v>41</v>
      </c>
    </row>
    <row r="58" ht="20" customHeight="1" spans="1:18" x14ac:dyDescent="0.25">
      <c r="A58" s="20">
        <v>57</v>
      </c>
      <c r="B58" s="21">
        <v>46344</v>
      </c>
      <c r="C58" s="3" t="str">
        <f>TEXT(B58,"mmm yyyy")</f>
        <v>Nov 2026</v>
      </c>
      <c r="D58" s="3" t="str">
        <f>TEXT(B58,"ddd")</f>
        <v>Wed</v>
      </c>
      <c r="E58" s="22">
        <v>3</v>
      </c>
      <c r="F58" s="22">
        <v>4.61</v>
      </c>
      <c r="G58" s="22">
        <f>IFERROR(F58/E58,0)</f>
        <v>1.54</v>
      </c>
      <c r="H58" s="23"/>
      <c r="I58" s="23"/>
      <c r="J58" s="20" t="str">
        <f>IF(OR(H58="",I58=""),"",I58/H58)</f>
        <v/>
      </c>
      <c r="K58" s="24" t="s">
        <v>36</v>
      </c>
      <c r="L58" s="25"/>
      <c r="M58" s="20" t="str">
        <f>IF(I58="","",I58-F58)</f>
        <v/>
      </c>
      <c r="N58" s="26" t="str">
        <f>IF(I58="","",IFERROR(I58/F58,""))</f>
        <v/>
      </c>
      <c r="O58" s="3" t="str">
        <f>IF(I58="","Not Started",IF(I58&gt;=F58,"Complete","In Progress"))</f>
        <v>Not Started</v>
      </c>
      <c r="P58" s="3" t="s">
        <v>36</v>
      </c>
      <c r="Q58" s="26" t="s">
        <v>36</v>
      </c>
      <c r="R58" s="27" t="s">
        <v>41</v>
      </c>
    </row>
    <row r="59" ht="20" customHeight="1" spans="1:18" x14ac:dyDescent="0.25">
      <c r="A59" s="20">
        <v>58</v>
      </c>
      <c r="B59" s="21">
        <v>46345</v>
      </c>
      <c r="C59" s="3" t="str">
        <f>TEXT(B59,"mmm yyyy")</f>
        <v>Nov 2026</v>
      </c>
      <c r="D59" s="3" t="str">
        <f>TEXT(B59,"ddd")</f>
        <v>Thu</v>
      </c>
      <c r="E59" s="22">
        <v>3</v>
      </c>
      <c r="F59" s="22">
        <v>4.61</v>
      </c>
      <c r="G59" s="22">
        <f>IFERROR(F59/E59,0)</f>
        <v>1.54</v>
      </c>
      <c r="H59" s="23"/>
      <c r="I59" s="23"/>
      <c r="J59" s="20" t="str">
        <f>IF(OR(H59="",I59=""),"",I59/H59)</f>
        <v/>
      </c>
      <c r="K59" s="24" t="s">
        <v>36</v>
      </c>
      <c r="L59" s="25"/>
      <c r="M59" s="20" t="str">
        <f>IF(I59="","",I59-F59)</f>
        <v/>
      </c>
      <c r="N59" s="26" t="str">
        <f>IF(I59="","",IFERROR(I59/F59,""))</f>
        <v/>
      </c>
      <c r="O59" s="3" t="str">
        <f>IF(I59="","Not Started",IF(I59&gt;=F59,"Complete","In Progress"))</f>
        <v>Not Started</v>
      </c>
      <c r="P59" s="3" t="s">
        <v>36</v>
      </c>
      <c r="Q59" s="26" t="s">
        <v>36</v>
      </c>
      <c r="R59" s="27" t="s">
        <v>41</v>
      </c>
    </row>
    <row r="60" ht="20" customHeight="1" spans="1:18" x14ac:dyDescent="0.25">
      <c r="A60" s="20">
        <v>59</v>
      </c>
      <c r="B60" s="21">
        <v>46346</v>
      </c>
      <c r="C60" s="3" t="str">
        <f>TEXT(B60,"mmm yyyy")</f>
        <v>Nov 2026</v>
      </c>
      <c r="D60" s="3" t="str">
        <f>TEXT(B60,"ddd")</f>
        <v>Fri</v>
      </c>
      <c r="E60" s="22">
        <v>3</v>
      </c>
      <c r="F60" s="22">
        <v>4.61</v>
      </c>
      <c r="G60" s="22">
        <f>IFERROR(F60/E60,0)</f>
        <v>1.54</v>
      </c>
      <c r="H60" s="23"/>
      <c r="I60" s="23"/>
      <c r="J60" s="20" t="str">
        <f>IF(OR(H60="",I60=""),"",I60/H60)</f>
        <v/>
      </c>
      <c r="K60" s="24" t="s">
        <v>36</v>
      </c>
      <c r="L60" s="25"/>
      <c r="M60" s="20" t="str">
        <f>IF(I60="","",I60-F60)</f>
        <v/>
      </c>
      <c r="N60" s="26" t="str">
        <f>IF(I60="","",IFERROR(I60/F60,""))</f>
        <v/>
      </c>
      <c r="O60" s="3" t="str">
        <f>IF(I60="","Not Started",IF(I60&gt;=F60,"Complete","In Progress"))</f>
        <v>Not Started</v>
      </c>
      <c r="P60" s="3" t="s">
        <v>36</v>
      </c>
      <c r="Q60" s="26" t="s">
        <v>36</v>
      </c>
      <c r="R60" s="27" t="s">
        <v>41</v>
      </c>
    </row>
    <row r="61" ht="20" customHeight="1" spans="1:18" x14ac:dyDescent="0.25">
      <c r="A61" s="20">
        <v>60</v>
      </c>
      <c r="B61" s="21">
        <v>46349</v>
      </c>
      <c r="C61" s="3" t="str">
        <f>TEXT(B61,"mmm yyyy")</f>
        <v>Nov 2026</v>
      </c>
      <c r="D61" s="3" t="str">
        <f>TEXT(B61,"ddd")</f>
        <v>Mon</v>
      </c>
      <c r="E61" s="22">
        <v>3</v>
      </c>
      <c r="F61" s="22">
        <v>4.61</v>
      </c>
      <c r="G61" s="22">
        <f>IFERROR(F61/E61,0)</f>
        <v>1.54</v>
      </c>
      <c r="H61" s="23"/>
      <c r="I61" s="23"/>
      <c r="J61" s="20" t="str">
        <f>IF(OR(H61="",I61=""),"",I61/H61)</f>
        <v/>
      </c>
      <c r="K61" s="24" t="s">
        <v>36</v>
      </c>
      <c r="L61" s="25"/>
      <c r="M61" s="20" t="str">
        <f>IF(I61="","",I61-F61)</f>
        <v/>
      </c>
      <c r="N61" s="26" t="str">
        <f>IF(I61="","",IFERROR(I61/F61,""))</f>
        <v/>
      </c>
      <c r="O61" s="3" t="str">
        <f>IF(I61="","Not Started",IF(I61&gt;=F61,"Complete","In Progress"))</f>
        <v>Not Started</v>
      </c>
      <c r="P61" s="3" t="s">
        <v>36</v>
      </c>
      <c r="Q61" s="26" t="s">
        <v>36</v>
      </c>
      <c r="R61" s="27" t="s">
        <v>41</v>
      </c>
    </row>
    <row r="62" ht="20" customHeight="1" spans="1:18" x14ac:dyDescent="0.25">
      <c r="A62" s="20">
        <v>61</v>
      </c>
      <c r="B62" s="21">
        <v>46350</v>
      </c>
      <c r="C62" s="3" t="str">
        <f>TEXT(B62,"mmm yyyy")</f>
        <v>Nov 2026</v>
      </c>
      <c r="D62" s="3" t="str">
        <f>TEXT(B62,"ddd")</f>
        <v>Tue</v>
      </c>
      <c r="E62" s="22">
        <v>3</v>
      </c>
      <c r="F62" s="22">
        <v>4.61</v>
      </c>
      <c r="G62" s="22">
        <f>IFERROR(F62/E62,0)</f>
        <v>1.54</v>
      </c>
      <c r="H62" s="23"/>
      <c r="I62" s="23"/>
      <c r="J62" s="20" t="str">
        <f>IF(OR(H62="",I62=""),"",I62/H62)</f>
        <v/>
      </c>
      <c r="K62" s="24" t="s">
        <v>36</v>
      </c>
      <c r="L62" s="25"/>
      <c r="M62" s="20" t="str">
        <f>IF(I62="","",I62-F62)</f>
        <v/>
      </c>
      <c r="N62" s="26" t="str">
        <f>IF(I62="","",IFERROR(I62/F62,""))</f>
        <v/>
      </c>
      <c r="O62" s="3" t="str">
        <f>IF(I62="","Not Started",IF(I62&gt;=F62,"Complete","In Progress"))</f>
        <v>Not Started</v>
      </c>
      <c r="P62" s="3" t="s">
        <v>36</v>
      </c>
      <c r="Q62" s="26" t="s">
        <v>36</v>
      </c>
      <c r="R62" s="27" t="s">
        <v>41</v>
      </c>
    </row>
    <row r="63" ht="20" customHeight="1" spans="1:18" x14ac:dyDescent="0.25">
      <c r="A63" s="20">
        <v>62</v>
      </c>
      <c r="B63" s="21">
        <v>46351</v>
      </c>
      <c r="C63" s="3" t="str">
        <f>TEXT(B63,"mmm yyyy")</f>
        <v>Nov 2026</v>
      </c>
      <c r="D63" s="3" t="str">
        <f>TEXT(B63,"ddd")</f>
        <v>Wed</v>
      </c>
      <c r="E63" s="22">
        <v>3</v>
      </c>
      <c r="F63" s="22">
        <v>4.61</v>
      </c>
      <c r="G63" s="22">
        <f>IFERROR(F63/E63,0)</f>
        <v>1.54</v>
      </c>
      <c r="H63" s="23"/>
      <c r="I63" s="23"/>
      <c r="J63" s="20" t="str">
        <f>IF(OR(H63="",I63=""),"",I63/H63)</f>
        <v/>
      </c>
      <c r="K63" s="24" t="s">
        <v>36</v>
      </c>
      <c r="L63" s="25"/>
      <c r="M63" s="20" t="str">
        <f>IF(I63="","",I63-F63)</f>
        <v/>
      </c>
      <c r="N63" s="26" t="str">
        <f>IF(I63="","",IFERROR(I63/F63,""))</f>
        <v/>
      </c>
      <c r="O63" s="3" t="str">
        <f>IF(I63="","Not Started",IF(I63&gt;=F63,"Complete","In Progress"))</f>
        <v>Not Started</v>
      </c>
      <c r="P63" s="3" t="s">
        <v>36</v>
      </c>
      <c r="Q63" s="26" t="s">
        <v>36</v>
      </c>
      <c r="R63" s="27" t="s">
        <v>41</v>
      </c>
    </row>
    <row r="64" ht="20" customHeight="1" spans="1:18" x14ac:dyDescent="0.25">
      <c r="A64" s="20">
        <v>63</v>
      </c>
      <c r="B64" s="21">
        <v>46352</v>
      </c>
      <c r="C64" s="3" t="str">
        <f>TEXT(B64,"mmm yyyy")</f>
        <v>Nov 2026</v>
      </c>
      <c r="D64" s="3" t="str">
        <f>TEXT(B64,"ddd")</f>
        <v>Thu</v>
      </c>
      <c r="E64" s="22">
        <v>3</v>
      </c>
      <c r="F64" s="22">
        <v>4.61</v>
      </c>
      <c r="G64" s="22">
        <f>IFERROR(F64/E64,0)</f>
        <v>1.54</v>
      </c>
      <c r="H64" s="23"/>
      <c r="I64" s="23"/>
      <c r="J64" s="20" t="str">
        <f>IF(OR(H64="",I64=""),"",I64/H64)</f>
        <v/>
      </c>
      <c r="K64" s="24" t="s">
        <v>36</v>
      </c>
      <c r="L64" s="25"/>
      <c r="M64" s="20" t="str">
        <f>IF(I64="","",I64-F64)</f>
        <v/>
      </c>
      <c r="N64" s="26" t="str">
        <f>IF(I64="","",IFERROR(I64/F64,""))</f>
        <v/>
      </c>
      <c r="O64" s="3" t="str">
        <f>IF(I64="","Not Started",IF(I64&gt;=F64,"Complete","In Progress"))</f>
        <v>Not Started</v>
      </c>
      <c r="P64" s="3" t="s">
        <v>36</v>
      </c>
      <c r="Q64" s="26" t="s">
        <v>36</v>
      </c>
      <c r="R64" s="27" t="s">
        <v>41</v>
      </c>
    </row>
    <row r="65" ht="20" customHeight="1" spans="1:18" x14ac:dyDescent="0.25">
      <c r="A65" s="20">
        <v>64</v>
      </c>
      <c r="B65" s="21">
        <v>46353</v>
      </c>
      <c r="C65" s="3" t="str">
        <f>TEXT(B65,"mmm yyyy")</f>
        <v>Nov 2026</v>
      </c>
      <c r="D65" s="3" t="str">
        <f>TEXT(B65,"ddd")</f>
        <v>Fri</v>
      </c>
      <c r="E65" s="22">
        <v>3</v>
      </c>
      <c r="F65" s="22">
        <v>4.61</v>
      </c>
      <c r="G65" s="22">
        <f>IFERROR(F65/E65,0)</f>
        <v>1.54</v>
      </c>
      <c r="H65" s="23"/>
      <c r="I65" s="23"/>
      <c r="J65" s="20" t="str">
        <f>IF(OR(H65="",I65=""),"",I65/H65)</f>
        <v/>
      </c>
      <c r="K65" s="24" t="s">
        <v>36</v>
      </c>
      <c r="L65" s="25"/>
      <c r="M65" s="20" t="str">
        <f>IF(I65="","",I65-F65)</f>
        <v/>
      </c>
      <c r="N65" s="26" t="str">
        <f>IF(I65="","",IFERROR(I65/F65,""))</f>
        <v/>
      </c>
      <c r="O65" s="3" t="str">
        <f>IF(I65="","Not Started",IF(I65&gt;=F65,"Complete","In Progress"))</f>
        <v>Not Started</v>
      </c>
      <c r="P65" s="3" t="s">
        <v>36</v>
      </c>
      <c r="Q65" s="26" t="s">
        <v>36</v>
      </c>
      <c r="R65" s="27" t="s">
        <v>41</v>
      </c>
    </row>
    <row r="66" ht="20" customHeight="1" spans="1:18" x14ac:dyDescent="0.25">
      <c r="A66" s="20">
        <v>65</v>
      </c>
      <c r="B66" s="21">
        <v>46356</v>
      </c>
      <c r="C66" s="3" t="str">
        <f>TEXT(B66,"mmm yyyy")</f>
        <v>Nov 2026</v>
      </c>
      <c r="D66" s="3" t="str">
        <f>TEXT(B66,"ddd")</f>
        <v>Mon</v>
      </c>
      <c r="E66" s="22">
        <v>3</v>
      </c>
      <c r="F66" s="22">
        <v>4.61</v>
      </c>
      <c r="G66" s="22">
        <f>IFERROR(F66/E66,0)</f>
        <v>1.54</v>
      </c>
      <c r="H66" s="23"/>
      <c r="I66" s="23"/>
      <c r="J66" s="20" t="str">
        <f>IF(OR(H66="",I66=""),"",I66/H66)</f>
        <v/>
      </c>
      <c r="K66" s="24" t="s">
        <v>36</v>
      </c>
      <c r="L66" s="25"/>
      <c r="M66" s="20" t="str">
        <f>IF(I66="","",I66-F66)</f>
        <v/>
      </c>
      <c r="N66" s="26" t="str">
        <f>IF(I66="","",IFERROR(I66/F66,""))</f>
        <v/>
      </c>
      <c r="O66" s="3" t="str">
        <f>IF(I66="","Not Started",IF(I66&gt;=F66,"Complete","In Progress"))</f>
        <v>Not Started</v>
      </c>
      <c r="P66" s="3" t="s">
        <v>36</v>
      </c>
      <c r="Q66" s="26" t="s">
        <v>36</v>
      </c>
      <c r="R66" s="27" t="s">
        <v>41</v>
      </c>
    </row>
  </sheetData>
  <autoFilter ref="A1:R1"/>
  <conditionalFormatting sqref="O2:O66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3." sqref="H10:H66">
      <formula1>0</formula1>
      <formula2>3</formula2>
    </dataValidation>
    <dataValidation type="whole" allowBlank="1" showErrorMessage="1" errorTitle="Invalid team size" error="Enter a value from 0 to 3." sqref="H2:H66">
      <formula1>0</formula1>
      <formula2>3</formula2>
    </dataValidation>
    <dataValidation type="decimal" operator="greaterThanOrEqual" allowBlank="1" showErrorMessage="1" errorTitle="Invalid value" error="Actual Tasks Approved cannot be negative." sqref="I10:I66">
      <formula1>0</formula1>
    </dataValidation>
    <dataValidation type="decimal" operator="greaterThanOrEqual" allowBlank="1" showErrorMessage="1" errorTitle="Invalid value" error="Actual Tasks Approved cannot be negative." sqref="I2:I66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15" style="12" customWidth="1"/>
    <col min="3" max="3" width="14" style="12" customWidth="1"/>
    <col min="4" max="4" width="15" style="12" customWidth="1"/>
    <col min="5" max="5" width="18" style="12" customWidth="1"/>
    <col min="6" max="6" width="22" style="12" customWidth="1"/>
    <col min="7" max="7" width="14" style="12" customWidth="1"/>
    <col min="8" max="8" width="23" style="12" customWidth="1"/>
    <col min="9" max="9" width="45" style="12" customWidth="1"/>
  </cols>
  <sheetData>
    <row r="1" ht="24" customHeight="1" spans="1:9" x14ac:dyDescent="0.25">
      <c r="A1" s="17" t="s">
        <v>42</v>
      </c>
      <c r="B1" s="17" t="s">
        <v>43</v>
      </c>
      <c r="C1" s="17" t="s">
        <v>44</v>
      </c>
      <c r="D1" s="17" t="s">
        <v>23</v>
      </c>
      <c r="E1" s="17" t="s">
        <v>45</v>
      </c>
      <c r="F1" s="17" t="s">
        <v>46</v>
      </c>
      <c r="G1" s="17" t="s">
        <v>47</v>
      </c>
      <c r="H1" s="17" t="s">
        <v>34</v>
      </c>
      <c r="I1" s="17" t="s">
        <v>48</v>
      </c>
    </row>
    <row r="2" spans="1:9" x14ac:dyDescent="0.25">
      <c r="A2" s="3" t="s">
        <v>49</v>
      </c>
      <c r="B2" s="3">
        <v>22</v>
      </c>
      <c r="C2" s="3" t="s">
        <v>50</v>
      </c>
      <c r="D2" s="3">
        <v>60</v>
      </c>
      <c r="E2" s="3">
        <v>3</v>
      </c>
      <c r="F2" s="3">
        <v>20</v>
      </c>
      <c r="G2" s="3">
        <v>32</v>
      </c>
      <c r="H2" s="3">
        <v>20</v>
      </c>
      <c r="I2" s="3" t="s">
        <v>51</v>
      </c>
    </row>
    <row r="3" spans="1:9" x14ac:dyDescent="0.25">
      <c r="A3" s="3" t="s">
        <v>52</v>
      </c>
      <c r="B3" s="3">
        <v>22</v>
      </c>
      <c r="C3" s="3" t="s">
        <v>53</v>
      </c>
      <c r="D3" s="3">
        <v>150</v>
      </c>
      <c r="E3" s="3">
        <v>3</v>
      </c>
      <c r="F3" s="3">
        <v>50</v>
      </c>
      <c r="G3" s="3">
        <v>80</v>
      </c>
      <c r="H3" s="3">
        <v>70</v>
      </c>
      <c r="I3" s="3" t="s">
        <v>54</v>
      </c>
    </row>
    <row r="4" spans="1:9" x14ac:dyDescent="0.25">
      <c r="A4" s="3" t="s">
        <v>55</v>
      </c>
      <c r="B4" s="3">
        <v>22</v>
      </c>
      <c r="C4" s="3" t="s">
        <v>56</v>
      </c>
      <c r="D4" s="3">
        <v>90</v>
      </c>
      <c r="E4" s="3">
        <v>3</v>
      </c>
      <c r="F4" s="3">
        <v>30</v>
      </c>
      <c r="G4" s="3">
        <v>48</v>
      </c>
      <c r="H4" s="3">
        <v>100</v>
      </c>
      <c r="I4" s="3" t="s">
        <v>57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12" customWidth="1"/>
    <col min="4" max="4" width="15" style="12" customWidth="1"/>
    <col min="5" max="5" width="45" style="12" customWidth="1"/>
    <col min="6" max="6" width="36" style="12" customWidth="1"/>
  </cols>
  <sheetData>
    <row r="1" ht="24" customHeight="1" spans="1:6" x14ac:dyDescent="0.25">
      <c r="A1" s="17" t="s">
        <v>58</v>
      </c>
      <c r="B1" s="17" t="s">
        <v>7</v>
      </c>
      <c r="C1" s="17" t="s">
        <v>59</v>
      </c>
      <c r="D1" s="17" t="s">
        <v>23</v>
      </c>
      <c r="E1" s="17" t="s">
        <v>48</v>
      </c>
      <c r="F1" s="17" t="s">
        <v>60</v>
      </c>
    </row>
    <row r="2" spans="1:6" x14ac:dyDescent="0.25">
      <c r="A2" s="3">
        <v>1</v>
      </c>
      <c r="B2" s="3" t="s">
        <v>61</v>
      </c>
      <c r="C2" s="3" t="s">
        <v>62</v>
      </c>
      <c r="D2" s="3">
        <v>15</v>
      </c>
      <c r="E2" s="3" t="s">
        <v>37</v>
      </c>
      <c r="F2" s="3" t="s">
        <v>63</v>
      </c>
    </row>
    <row r="3" spans="1:6" x14ac:dyDescent="0.25">
      <c r="A3" s="3">
        <v>2</v>
      </c>
      <c r="B3" s="3" t="s">
        <v>64</v>
      </c>
      <c r="C3" s="3" t="s">
        <v>65</v>
      </c>
      <c r="D3" s="3">
        <v>15</v>
      </c>
      <c r="E3" s="3" t="s">
        <v>38</v>
      </c>
      <c r="F3" s="3" t="s">
        <v>66</v>
      </c>
    </row>
    <row r="4" spans="1:6" x14ac:dyDescent="0.25">
      <c r="A4" s="3">
        <v>3</v>
      </c>
      <c r="B4" s="3" t="s">
        <v>67</v>
      </c>
      <c r="C4" s="3" t="s">
        <v>68</v>
      </c>
      <c r="D4" s="3">
        <v>15</v>
      </c>
      <c r="E4" s="3" t="s">
        <v>38</v>
      </c>
      <c r="F4" s="3" t="s">
        <v>63</v>
      </c>
    </row>
    <row r="5" spans="1:6" x14ac:dyDescent="0.25">
      <c r="A5" s="3">
        <v>4</v>
      </c>
      <c r="B5" s="3" t="s">
        <v>69</v>
      </c>
      <c r="C5" s="3" t="s">
        <v>70</v>
      </c>
      <c r="D5" s="3">
        <v>11</v>
      </c>
      <c r="E5" s="3" t="s">
        <v>38</v>
      </c>
      <c r="F5" s="3" t="s">
        <v>66</v>
      </c>
    </row>
    <row r="6" spans="1:6" x14ac:dyDescent="0.25">
      <c r="A6" s="3">
        <v>5</v>
      </c>
      <c r="B6" s="3" t="s">
        <v>71</v>
      </c>
      <c r="C6" s="3" t="s">
        <v>72</v>
      </c>
      <c r="D6" s="3">
        <v>25</v>
      </c>
      <c r="E6" s="3" t="s">
        <v>38</v>
      </c>
      <c r="F6" s="3" t="s">
        <v>63</v>
      </c>
    </row>
    <row r="7" spans="1:6" x14ac:dyDescent="0.25">
      <c r="A7" s="3">
        <v>6</v>
      </c>
      <c r="B7" s="3" t="s">
        <v>73</v>
      </c>
      <c r="C7" s="3" t="s">
        <v>74</v>
      </c>
      <c r="D7" s="3">
        <v>35</v>
      </c>
      <c r="E7" s="3" t="s">
        <v>39</v>
      </c>
      <c r="F7" s="3" t="s">
        <v>66</v>
      </c>
    </row>
    <row r="8" spans="1:6" x14ac:dyDescent="0.25">
      <c r="A8" s="3">
        <v>7</v>
      </c>
      <c r="B8" s="3" t="s">
        <v>75</v>
      </c>
      <c r="C8" s="3" t="s">
        <v>76</v>
      </c>
      <c r="D8" s="3">
        <v>35</v>
      </c>
      <c r="E8" s="3" t="s">
        <v>39</v>
      </c>
      <c r="F8" s="3" t="s">
        <v>63</v>
      </c>
    </row>
    <row r="9" spans="1:6" x14ac:dyDescent="0.25">
      <c r="A9" s="3">
        <v>8</v>
      </c>
      <c r="B9" s="3" t="s">
        <v>77</v>
      </c>
      <c r="C9" s="3" t="s">
        <v>78</v>
      </c>
      <c r="D9" s="3">
        <v>35</v>
      </c>
      <c r="E9" s="3" t="s">
        <v>39</v>
      </c>
      <c r="F9" s="3" t="s">
        <v>66</v>
      </c>
    </row>
    <row r="10" spans="1:6" x14ac:dyDescent="0.25">
      <c r="A10" s="3">
        <v>9</v>
      </c>
      <c r="B10" s="3" t="s">
        <v>79</v>
      </c>
      <c r="C10" s="3" t="s">
        <v>80</v>
      </c>
      <c r="D10" s="3">
        <v>29</v>
      </c>
      <c r="E10" s="3" t="s">
        <v>39</v>
      </c>
      <c r="F10" s="3" t="s">
        <v>63</v>
      </c>
    </row>
    <row r="11" spans="1:6" x14ac:dyDescent="0.25">
      <c r="A11" s="3">
        <v>10</v>
      </c>
      <c r="B11" s="3" t="s">
        <v>81</v>
      </c>
      <c r="C11" s="3" t="s">
        <v>82</v>
      </c>
      <c r="D11" s="3">
        <v>21</v>
      </c>
      <c r="E11" s="3" t="s">
        <v>41</v>
      </c>
      <c r="F11" s="3" t="s">
        <v>66</v>
      </c>
    </row>
    <row r="12" spans="1:6" x14ac:dyDescent="0.25">
      <c r="A12" s="3">
        <v>11</v>
      </c>
      <c r="B12" s="3" t="s">
        <v>83</v>
      </c>
      <c r="C12" s="3" t="s">
        <v>84</v>
      </c>
      <c r="D12" s="3">
        <v>20</v>
      </c>
      <c r="E12" s="3" t="s">
        <v>41</v>
      </c>
      <c r="F12" s="3" t="s">
        <v>63</v>
      </c>
    </row>
    <row r="13" spans="1:6" x14ac:dyDescent="0.25">
      <c r="A13" s="3">
        <v>12</v>
      </c>
      <c r="B13" s="3" t="s">
        <v>85</v>
      </c>
      <c r="C13" s="3" t="s">
        <v>86</v>
      </c>
      <c r="D13" s="3">
        <v>20</v>
      </c>
      <c r="E13" s="3" t="s">
        <v>41</v>
      </c>
      <c r="F13" s="3" t="s">
        <v>66</v>
      </c>
    </row>
    <row r="14" spans="1:6" x14ac:dyDescent="0.25">
      <c r="A14" s="3">
        <v>13</v>
      </c>
      <c r="B14" s="3" t="s">
        <v>87</v>
      </c>
      <c r="C14" s="3" t="s">
        <v>88</v>
      </c>
      <c r="D14" s="3">
        <v>20</v>
      </c>
      <c r="E14" s="3" t="s">
        <v>41</v>
      </c>
      <c r="F14" s="3" t="s">
        <v>63</v>
      </c>
    </row>
    <row r="15" spans="1:6" x14ac:dyDescent="0.25">
      <c r="A15" s="3">
        <v>14</v>
      </c>
      <c r="B15" s="3" t="s">
        <v>89</v>
      </c>
      <c r="C15" s="3" t="s">
        <v>89</v>
      </c>
      <c r="D15" s="3">
        <v>4</v>
      </c>
      <c r="E15" s="3" t="s">
        <v>90</v>
      </c>
      <c r="F15" s="3" t="s">
        <v>66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2" customWidth="1"/>
    <col min="2" max="4" width="15" style="12" customWidth="1"/>
    <col min="5" max="5" width="20" style="12" customWidth="1"/>
  </cols>
  <sheetData>
    <row r="1" ht="24" customHeight="1" spans="1:5" x14ac:dyDescent="0.25">
      <c r="A1" s="17" t="s">
        <v>91</v>
      </c>
      <c r="B1" s="17" t="s">
        <v>92</v>
      </c>
      <c r="C1" s="17" t="s">
        <v>28</v>
      </c>
      <c r="D1" s="17" t="s">
        <v>93</v>
      </c>
      <c r="E1" s="17" t="s">
        <v>35</v>
      </c>
    </row>
    <row r="2" spans="1:5" x14ac:dyDescent="0.25">
      <c r="A2" s="3" t="s">
        <v>94</v>
      </c>
      <c r="B2" s="3" t="s">
        <v>95</v>
      </c>
      <c r="C2" s="3">
        <v>53.33</v>
      </c>
      <c r="D2" s="3" t="s">
        <v>49</v>
      </c>
      <c r="E2" s="3" t="s">
        <v>96</v>
      </c>
    </row>
    <row r="3" spans="1:5" x14ac:dyDescent="0.25">
      <c r="A3" s="3" t="s">
        <v>97</v>
      </c>
      <c r="B3" s="3" t="s">
        <v>95</v>
      </c>
      <c r="C3" s="3">
        <v>53.33</v>
      </c>
      <c r="D3" s="3" t="s">
        <v>52</v>
      </c>
      <c r="E3" s="3" t="s">
        <v>96</v>
      </c>
    </row>
    <row r="4" spans="1:5" x14ac:dyDescent="0.25">
      <c r="A4" s="3" t="s">
        <v>98</v>
      </c>
      <c r="B4" s="3" t="s">
        <v>95</v>
      </c>
      <c r="C4" s="3">
        <v>53.33</v>
      </c>
      <c r="D4" s="3" t="s">
        <v>55</v>
      </c>
      <c r="E4" s="3" t="s">
        <v>96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12" customWidth="1"/>
    <col min="2" max="3" width="14" style="12" customWidth="1"/>
    <col min="4" max="4" width="21" style="12" customWidth="1"/>
    <col min="5" max="5" width="45" style="12" customWidth="1"/>
  </cols>
  <sheetData>
    <row r="1" ht="24" customHeight="1" spans="1:5" x14ac:dyDescent="0.25">
      <c r="A1" s="17" t="s">
        <v>99</v>
      </c>
      <c r="B1" s="17" t="s">
        <v>100</v>
      </c>
      <c r="C1" s="17" t="s">
        <v>101</v>
      </c>
      <c r="D1" s="17" t="s">
        <v>102</v>
      </c>
      <c r="E1" s="17" t="s">
        <v>103</v>
      </c>
    </row>
    <row r="2" spans="1:5" x14ac:dyDescent="0.25">
      <c r="A2" s="3" t="s">
        <v>104</v>
      </c>
      <c r="B2" s="3" t="s">
        <v>105</v>
      </c>
      <c r="C2" s="3" t="s">
        <v>106</v>
      </c>
      <c r="D2" s="3" t="s">
        <v>107</v>
      </c>
      <c r="E2" s="3" t="s">
        <v>51</v>
      </c>
    </row>
    <row r="3" spans="1:5" x14ac:dyDescent="0.25">
      <c r="A3" s="3" t="s">
        <v>108</v>
      </c>
      <c r="B3" s="3" t="s">
        <v>109</v>
      </c>
      <c r="C3" s="3" t="s">
        <v>110</v>
      </c>
      <c r="D3" s="3" t="s">
        <v>104</v>
      </c>
      <c r="E3" s="3" t="s">
        <v>54</v>
      </c>
    </row>
    <row r="4" spans="1:5" x14ac:dyDescent="0.25">
      <c r="A4" s="3" t="s">
        <v>111</v>
      </c>
      <c r="B4" s="3" t="s">
        <v>89</v>
      </c>
      <c r="C4" s="3" t="s">
        <v>112</v>
      </c>
      <c r="D4" s="3" t="s">
        <v>108</v>
      </c>
      <c r="E4" s="3" t="s">
        <v>57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2" customWidth="1"/>
    <col min="2" max="2" width="14" style="12" customWidth="1"/>
    <col min="3" max="3" width="45" style="12" customWidth="1"/>
    <col min="4" max="4" width="14" style="12" customWidth="1"/>
    <col min="5" max="5" width="45" style="12" customWidth="1"/>
  </cols>
  <sheetData>
    <row r="1" ht="24" customHeight="1" spans="1:5" x14ac:dyDescent="0.25">
      <c r="A1" s="17" t="s">
        <v>113</v>
      </c>
      <c r="B1" s="17" t="s">
        <v>19</v>
      </c>
      <c r="C1" s="17" t="s">
        <v>114</v>
      </c>
      <c r="D1" s="17" t="s">
        <v>101</v>
      </c>
      <c r="E1" s="17" t="s">
        <v>115</v>
      </c>
    </row>
    <row r="2" spans="1:5" x14ac:dyDescent="0.25">
      <c r="A2" s="3" t="s">
        <v>116</v>
      </c>
      <c r="B2" s="3" t="s">
        <v>62</v>
      </c>
      <c r="C2" s="3" t="s">
        <v>117</v>
      </c>
      <c r="D2" s="3" t="s">
        <v>112</v>
      </c>
      <c r="E2" s="3" t="s">
        <v>118</v>
      </c>
    </row>
    <row r="3" spans="1:5" x14ac:dyDescent="0.25">
      <c r="A3" s="3" t="s">
        <v>119</v>
      </c>
      <c r="B3" s="3" t="s">
        <v>65</v>
      </c>
      <c r="C3" s="3" t="s">
        <v>117</v>
      </c>
      <c r="D3" s="3" t="s">
        <v>112</v>
      </c>
      <c r="E3" s="3" t="s">
        <v>118</v>
      </c>
    </row>
    <row r="4" spans="1:5" x14ac:dyDescent="0.25">
      <c r="A4" s="3" t="s">
        <v>120</v>
      </c>
      <c r="B4" s="3" t="s">
        <v>68</v>
      </c>
      <c r="C4" s="3" t="s">
        <v>117</v>
      </c>
      <c r="D4" s="3" t="s">
        <v>112</v>
      </c>
      <c r="E4" s="3" t="s">
        <v>118</v>
      </c>
    </row>
    <row r="5" spans="1:5" x14ac:dyDescent="0.25">
      <c r="A5" s="3" t="s">
        <v>121</v>
      </c>
      <c r="B5" s="3" t="s">
        <v>70</v>
      </c>
      <c r="C5" s="3" t="s">
        <v>117</v>
      </c>
      <c r="D5" s="3" t="s">
        <v>112</v>
      </c>
      <c r="E5" s="3" t="s">
        <v>118</v>
      </c>
    </row>
    <row r="6" spans="1:5" x14ac:dyDescent="0.25">
      <c r="A6" s="3" t="s">
        <v>122</v>
      </c>
      <c r="B6" s="3" t="s">
        <v>72</v>
      </c>
      <c r="C6" s="3" t="s">
        <v>117</v>
      </c>
      <c r="D6" s="3" t="s">
        <v>112</v>
      </c>
      <c r="E6" s="3" t="s">
        <v>118</v>
      </c>
    </row>
    <row r="7" spans="1:5" x14ac:dyDescent="0.25">
      <c r="A7" s="3" t="s">
        <v>123</v>
      </c>
      <c r="B7" s="3" t="s">
        <v>74</v>
      </c>
      <c r="C7" s="3" t="s">
        <v>117</v>
      </c>
      <c r="D7" s="3" t="s">
        <v>112</v>
      </c>
      <c r="E7" s="3" t="s">
        <v>118</v>
      </c>
    </row>
    <row r="8" spans="1:5" x14ac:dyDescent="0.25">
      <c r="A8" s="3" t="s">
        <v>124</v>
      </c>
      <c r="B8" s="3" t="s">
        <v>76</v>
      </c>
      <c r="C8" s="3" t="s">
        <v>117</v>
      </c>
      <c r="D8" s="3" t="s">
        <v>112</v>
      </c>
      <c r="E8" s="3" t="s">
        <v>118</v>
      </c>
    </row>
    <row r="9" spans="1:5" x14ac:dyDescent="0.25">
      <c r="A9" s="3" t="s">
        <v>125</v>
      </c>
      <c r="B9" s="3" t="s">
        <v>78</v>
      </c>
      <c r="C9" s="3" t="s">
        <v>117</v>
      </c>
      <c r="D9" s="3" t="s">
        <v>112</v>
      </c>
      <c r="E9" s="3" t="s">
        <v>118</v>
      </c>
    </row>
    <row r="10" spans="1:5" x14ac:dyDescent="0.25">
      <c r="A10" s="3" t="s">
        <v>126</v>
      </c>
      <c r="B10" s="3" t="s">
        <v>80</v>
      </c>
      <c r="C10" s="3" t="s">
        <v>117</v>
      </c>
      <c r="D10" s="3" t="s">
        <v>112</v>
      </c>
      <c r="E10" s="3" t="s">
        <v>118</v>
      </c>
    </row>
    <row r="11" spans="1:5" x14ac:dyDescent="0.25">
      <c r="A11" s="3" t="s">
        <v>127</v>
      </c>
      <c r="B11" s="3" t="s">
        <v>82</v>
      </c>
      <c r="C11" s="3" t="s">
        <v>117</v>
      </c>
      <c r="D11" s="3" t="s">
        <v>112</v>
      </c>
      <c r="E11" s="3" t="s">
        <v>118</v>
      </c>
    </row>
    <row r="12" spans="1:5" x14ac:dyDescent="0.25">
      <c r="A12" s="3" t="s">
        <v>128</v>
      </c>
      <c r="B12" s="3" t="s">
        <v>84</v>
      </c>
      <c r="C12" s="3" t="s">
        <v>117</v>
      </c>
      <c r="D12" s="3" t="s">
        <v>112</v>
      </c>
      <c r="E12" s="3" t="s">
        <v>118</v>
      </c>
    </row>
    <row r="13" spans="1:5" x14ac:dyDescent="0.25">
      <c r="A13" s="3" t="s">
        <v>129</v>
      </c>
      <c r="B13" s="3" t="s">
        <v>86</v>
      </c>
      <c r="C13" s="3" t="s">
        <v>117</v>
      </c>
      <c r="D13" s="3" t="s">
        <v>112</v>
      </c>
      <c r="E13" s="3" t="s">
        <v>118</v>
      </c>
    </row>
    <row r="14" spans="1:5" x14ac:dyDescent="0.25">
      <c r="A14" s="3" t="s">
        <v>130</v>
      </c>
      <c r="B14" s="3" t="s">
        <v>88</v>
      </c>
      <c r="C14" s="3" t="s">
        <v>117</v>
      </c>
      <c r="D14" s="3" t="s">
        <v>112</v>
      </c>
      <c r="E14" s="3" t="s">
        <v>118</v>
      </c>
    </row>
    <row r="15" spans="1:5" x14ac:dyDescent="0.25">
      <c r="A15" s="3" t="s">
        <v>131</v>
      </c>
      <c r="B15" s="3" t="s">
        <v>89</v>
      </c>
      <c r="C15" s="3" t="s">
        <v>117</v>
      </c>
      <c r="D15" s="3" t="s">
        <v>112</v>
      </c>
      <c r="E15" s="3" t="s">
        <v>118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38" style="12" customWidth="1"/>
    <col min="3" max="4" width="45" style="12" customWidth="1"/>
  </cols>
  <sheetData>
    <row r="1" ht="24" customHeight="1" spans="1:4" x14ac:dyDescent="0.25">
      <c r="A1" s="17" t="s">
        <v>132</v>
      </c>
      <c r="B1" s="17" t="s">
        <v>133</v>
      </c>
      <c r="C1" s="17" t="s">
        <v>134</v>
      </c>
      <c r="D1" s="17" t="s">
        <v>135</v>
      </c>
    </row>
    <row r="2" spans="1:4" x14ac:dyDescent="0.25">
      <c r="A2" s="3" t="s">
        <v>136</v>
      </c>
      <c r="B2" s="3" t="s">
        <v>137</v>
      </c>
      <c r="C2" s="3" t="s">
        <v>138</v>
      </c>
      <c r="D2" s="3" t="s">
        <v>139</v>
      </c>
    </row>
    <row r="3" spans="1:4" x14ac:dyDescent="0.25">
      <c r="A3" s="3" t="s">
        <v>136</v>
      </c>
      <c r="B3" s="3" t="s">
        <v>140</v>
      </c>
      <c r="C3" s="3" t="s">
        <v>141</v>
      </c>
      <c r="D3" s="3" t="s">
        <v>142</v>
      </c>
    </row>
    <row r="4" spans="1:4" x14ac:dyDescent="0.25">
      <c r="A4" s="3" t="s">
        <v>136</v>
      </c>
      <c r="B4" s="3" t="s">
        <v>143</v>
      </c>
      <c r="C4" s="3" t="s">
        <v>144</v>
      </c>
      <c r="D4" s="3" t="s">
        <v>145</v>
      </c>
    </row>
    <row r="5" spans="1:4" x14ac:dyDescent="0.25">
      <c r="A5" s="3" t="s">
        <v>146</v>
      </c>
      <c r="B5" s="3" t="s">
        <v>147</v>
      </c>
      <c r="C5" s="3" t="s">
        <v>148</v>
      </c>
      <c r="D5" s="3" t="s">
        <v>149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15" style="12" customWidth="1"/>
    <col min="3" max="7" width="14" style="12" customWidth="1"/>
  </cols>
  <sheetData>
    <row r="1" ht="24" customHeight="1" spans="1:7" x14ac:dyDescent="0.25">
      <c r="A1" s="17" t="s">
        <v>150</v>
      </c>
      <c r="B1" s="17" t="s">
        <v>23</v>
      </c>
      <c r="C1" s="17" t="s">
        <v>151</v>
      </c>
      <c r="D1" s="17" t="s">
        <v>152</v>
      </c>
      <c r="E1" s="17" t="s">
        <v>153</v>
      </c>
      <c r="F1" s="17" t="s">
        <v>32</v>
      </c>
      <c r="G1" s="17" t="s">
        <v>35</v>
      </c>
    </row>
    <row r="2" spans="1:7" x14ac:dyDescent="0.25">
      <c r="A2" s="3" t="s">
        <v>154</v>
      </c>
      <c r="B2" s="3">
        <v>15</v>
      </c>
      <c r="C2" s="3" t="s">
        <v>36</v>
      </c>
      <c r="D2" s="3" t="s">
        <v>36</v>
      </c>
      <c r="E2" s="3" t="s">
        <v>36</v>
      </c>
      <c r="F2" s="3" t="s">
        <v>155</v>
      </c>
      <c r="G2" s="3" t="s">
        <v>36</v>
      </c>
    </row>
    <row r="3" spans="1:7" x14ac:dyDescent="0.25">
      <c r="A3" s="3" t="s">
        <v>156</v>
      </c>
      <c r="B3" s="3">
        <v>15</v>
      </c>
      <c r="C3" s="3" t="s">
        <v>36</v>
      </c>
      <c r="D3" s="3" t="s">
        <v>36</v>
      </c>
      <c r="E3" s="3" t="s">
        <v>36</v>
      </c>
      <c r="F3" s="3" t="s">
        <v>155</v>
      </c>
      <c r="G3" s="3" t="s">
        <v>36</v>
      </c>
    </row>
    <row r="4" spans="1:7" x14ac:dyDescent="0.25">
      <c r="A4" s="3" t="s">
        <v>157</v>
      </c>
      <c r="B4" s="3">
        <v>15</v>
      </c>
      <c r="C4" s="3" t="s">
        <v>36</v>
      </c>
      <c r="D4" s="3" t="s">
        <v>36</v>
      </c>
      <c r="E4" s="3" t="s">
        <v>36</v>
      </c>
      <c r="F4" s="3" t="s">
        <v>155</v>
      </c>
      <c r="G4" s="3" t="s">
        <v>36</v>
      </c>
    </row>
    <row r="5" spans="1:7" x14ac:dyDescent="0.25">
      <c r="A5" s="3" t="s">
        <v>158</v>
      </c>
      <c r="B5" s="3">
        <v>11</v>
      </c>
      <c r="C5" s="3" t="s">
        <v>36</v>
      </c>
      <c r="D5" s="3" t="s">
        <v>36</v>
      </c>
      <c r="E5" s="3" t="s">
        <v>36</v>
      </c>
      <c r="F5" s="3" t="s">
        <v>155</v>
      </c>
      <c r="G5" s="3" t="s">
        <v>36</v>
      </c>
    </row>
    <row r="6" spans="1:7" x14ac:dyDescent="0.25">
      <c r="A6" s="3" t="s">
        <v>159</v>
      </c>
      <c r="B6" s="3">
        <v>25</v>
      </c>
      <c r="C6" s="3" t="s">
        <v>36</v>
      </c>
      <c r="D6" s="3" t="s">
        <v>36</v>
      </c>
      <c r="E6" s="3" t="s">
        <v>36</v>
      </c>
      <c r="F6" s="3" t="s">
        <v>155</v>
      </c>
      <c r="G6" s="3" t="s">
        <v>36</v>
      </c>
    </row>
    <row r="7" spans="1:7" x14ac:dyDescent="0.25">
      <c r="A7" s="3" t="s">
        <v>160</v>
      </c>
      <c r="B7" s="3">
        <v>35</v>
      </c>
      <c r="C7" s="3" t="s">
        <v>36</v>
      </c>
      <c r="D7" s="3" t="s">
        <v>36</v>
      </c>
      <c r="E7" s="3" t="s">
        <v>36</v>
      </c>
      <c r="F7" s="3" t="s">
        <v>155</v>
      </c>
      <c r="G7" s="3" t="s">
        <v>36</v>
      </c>
    </row>
    <row r="8" spans="1:7" x14ac:dyDescent="0.25">
      <c r="A8" s="3" t="s">
        <v>161</v>
      </c>
      <c r="B8" s="3">
        <v>35</v>
      </c>
      <c r="C8" s="3" t="s">
        <v>36</v>
      </c>
      <c r="D8" s="3" t="s">
        <v>36</v>
      </c>
      <c r="E8" s="3" t="s">
        <v>36</v>
      </c>
      <c r="F8" s="3" t="s">
        <v>155</v>
      </c>
      <c r="G8" s="3" t="s">
        <v>36</v>
      </c>
    </row>
    <row r="9" spans="1:7" x14ac:dyDescent="0.25">
      <c r="A9" s="3" t="s">
        <v>162</v>
      </c>
      <c r="B9" s="3">
        <v>35</v>
      </c>
      <c r="C9" s="3" t="s">
        <v>36</v>
      </c>
      <c r="D9" s="3" t="s">
        <v>36</v>
      </c>
      <c r="E9" s="3" t="s">
        <v>36</v>
      </c>
      <c r="F9" s="3" t="s">
        <v>155</v>
      </c>
      <c r="G9" s="3" t="s">
        <v>36</v>
      </c>
    </row>
    <row r="10" spans="1:7" x14ac:dyDescent="0.25">
      <c r="A10" s="3" t="s">
        <v>163</v>
      </c>
      <c r="B10" s="3">
        <v>29</v>
      </c>
      <c r="C10" s="3" t="s">
        <v>36</v>
      </c>
      <c r="D10" s="3" t="s">
        <v>36</v>
      </c>
      <c r="E10" s="3" t="s">
        <v>36</v>
      </c>
      <c r="F10" s="3" t="s">
        <v>155</v>
      </c>
      <c r="G10" s="3" t="s">
        <v>36</v>
      </c>
    </row>
    <row r="11" spans="1:7" x14ac:dyDescent="0.25">
      <c r="A11" s="3" t="s">
        <v>164</v>
      </c>
      <c r="B11" s="3">
        <v>21</v>
      </c>
      <c r="C11" s="3" t="s">
        <v>36</v>
      </c>
      <c r="D11" s="3" t="s">
        <v>36</v>
      </c>
      <c r="E11" s="3" t="s">
        <v>36</v>
      </c>
      <c r="F11" s="3" t="s">
        <v>155</v>
      </c>
      <c r="G11" s="3" t="s">
        <v>36</v>
      </c>
    </row>
    <row r="12" spans="1:7" x14ac:dyDescent="0.25">
      <c r="A12" s="3" t="s">
        <v>165</v>
      </c>
      <c r="B12" s="3">
        <v>20</v>
      </c>
      <c r="C12" s="3" t="s">
        <v>36</v>
      </c>
      <c r="D12" s="3" t="s">
        <v>36</v>
      </c>
      <c r="E12" s="3" t="s">
        <v>36</v>
      </c>
      <c r="F12" s="3" t="s">
        <v>155</v>
      </c>
      <c r="G12" s="3" t="s">
        <v>36</v>
      </c>
    </row>
    <row r="13" spans="1:7" x14ac:dyDescent="0.25">
      <c r="A13" s="3" t="s">
        <v>166</v>
      </c>
      <c r="B13" s="3">
        <v>20</v>
      </c>
      <c r="C13" s="3" t="s">
        <v>36</v>
      </c>
      <c r="D13" s="3" t="s">
        <v>36</v>
      </c>
      <c r="E13" s="3" t="s">
        <v>36</v>
      </c>
      <c r="F13" s="3" t="s">
        <v>155</v>
      </c>
      <c r="G13" s="3" t="s">
        <v>36</v>
      </c>
    </row>
    <row r="14" spans="1:7" x14ac:dyDescent="0.25">
      <c r="A14" s="3" t="s">
        <v>167</v>
      </c>
      <c r="B14" s="3">
        <v>20</v>
      </c>
      <c r="C14" s="3" t="s">
        <v>36</v>
      </c>
      <c r="D14" s="3" t="s">
        <v>36</v>
      </c>
      <c r="E14" s="3" t="s">
        <v>36</v>
      </c>
      <c r="F14" s="3" t="s">
        <v>155</v>
      </c>
      <c r="G14" s="3" t="s">
        <v>36</v>
      </c>
    </row>
    <row r="15" spans="1:7" x14ac:dyDescent="0.25">
      <c r="A15" s="3" t="s">
        <v>168</v>
      </c>
      <c r="B15" s="3">
        <v>4</v>
      </c>
      <c r="C15" s="3" t="s">
        <v>36</v>
      </c>
      <c r="D15" s="3" t="s">
        <v>36</v>
      </c>
      <c r="E15" s="3" t="s">
        <v>36</v>
      </c>
      <c r="F15" s="3" t="s">
        <v>155</v>
      </c>
      <c r="G15" s="3" t="s">
        <v>36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12" customWidth="1"/>
    <col min="2" max="2" width="45" style="12" customWidth="1"/>
  </cols>
  <sheetData>
    <row r="1" ht="24" customHeight="1" spans="1:2" x14ac:dyDescent="0.25">
      <c r="A1" s="17" t="s">
        <v>169</v>
      </c>
      <c r="B1" s="17" t="s">
        <v>170</v>
      </c>
    </row>
    <row r="2" spans="1:2" x14ac:dyDescent="0.25">
      <c r="A2" s="3" t="s">
        <v>171</v>
      </c>
      <c r="B2" s="3" t="s">
        <v>172</v>
      </c>
    </row>
    <row r="3" spans="1:2" x14ac:dyDescent="0.25">
      <c r="A3" s="3" t="s">
        <v>173</v>
      </c>
      <c r="B3" s="3" t="s">
        <v>174</v>
      </c>
    </row>
    <row r="4" spans="1:2" x14ac:dyDescent="0.25">
      <c r="A4" s="3" t="s">
        <v>175</v>
      </c>
      <c r="B4" s="3" t="s">
        <v>61</v>
      </c>
    </row>
    <row r="5" spans="1:2" x14ac:dyDescent="0.25">
      <c r="A5" s="3" t="s">
        <v>176</v>
      </c>
      <c r="B5" s="3" t="s">
        <v>89</v>
      </c>
    </row>
    <row r="6" spans="1:2" x14ac:dyDescent="0.25">
      <c r="A6" s="3" t="s">
        <v>177</v>
      </c>
      <c r="B6" s="3">
        <v>160</v>
      </c>
    </row>
    <row r="7" spans="1:2" x14ac:dyDescent="0.25">
      <c r="A7" s="3" t="s">
        <v>178</v>
      </c>
      <c r="B7" s="3">
        <v>3</v>
      </c>
    </row>
    <row r="8" spans="1:2" x14ac:dyDescent="0.25">
      <c r="A8" s="3" t="s">
        <v>179</v>
      </c>
      <c r="B8" s="3" t="s">
        <v>10</v>
      </c>
    </row>
    <row r="9" spans="1:2" x14ac:dyDescent="0.25">
      <c r="A9" s="3" t="s">
        <v>180</v>
      </c>
      <c r="B9" s="3">
        <v>300</v>
      </c>
    </row>
    <row r="10" spans="1:2" x14ac:dyDescent="0.25">
      <c r="A10" s="3" t="s">
        <v>181</v>
      </c>
      <c r="B10" s="3" t="s">
        <v>182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2" customWidth="1"/>
    <col min="2" max="2" width="15" style="12" customWidth="1"/>
  </cols>
  <sheetData>
    <row r="1" ht="24" customHeight="1" spans="1:2" x14ac:dyDescent="0.25">
      <c r="A1" s="17" t="s">
        <v>183</v>
      </c>
      <c r="B1" s="17" t="s">
        <v>170</v>
      </c>
    </row>
    <row r="2" spans="1:2" x14ac:dyDescent="0.25">
      <c r="A2" s="3" t="s">
        <v>184</v>
      </c>
      <c r="B2" s="3" t="s">
        <v>172</v>
      </c>
    </row>
    <row r="3" spans="1:2" x14ac:dyDescent="0.25">
      <c r="A3" s="3" t="s">
        <v>173</v>
      </c>
      <c r="B3" s="3" t="s">
        <v>174</v>
      </c>
    </row>
    <row r="4" spans="1:2" x14ac:dyDescent="0.25">
      <c r="A4" s="3" t="s">
        <v>185</v>
      </c>
      <c r="B4" s="3" t="s">
        <v>186</v>
      </c>
    </row>
    <row r="5" spans="1:2" x14ac:dyDescent="0.25">
      <c r="A5" s="3" t="s">
        <v>187</v>
      </c>
      <c r="B5" s="3" t="s">
        <v>188</v>
      </c>
    </row>
    <row r="6" spans="1:2" x14ac:dyDescent="0.25">
      <c r="A6" s="3" t="s">
        <v>189</v>
      </c>
      <c r="B6" s="3" t="s">
        <v>190</v>
      </c>
    </row>
    <row r="7" spans="1:2" x14ac:dyDescent="0.25">
      <c r="A7" s="3" t="s">
        <v>191</v>
      </c>
      <c r="B7" s="3" t="s">
        <v>36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12" customWidth="1"/>
    <col min="2" max="2" width="45" style="12" customWidth="1"/>
    <col min="3" max="4" width="14" style="12" customWidth="1"/>
  </cols>
  <sheetData>
    <row r="1" ht="24" customHeight="1" spans="1:4" x14ac:dyDescent="0.25">
      <c r="A1" s="17" t="s">
        <v>169</v>
      </c>
      <c r="B1" s="17" t="s">
        <v>192</v>
      </c>
      <c r="C1" s="17" t="s">
        <v>170</v>
      </c>
      <c r="D1" s="17" t="s">
        <v>193</v>
      </c>
    </row>
    <row r="2" spans="1:4" x14ac:dyDescent="0.25">
      <c r="A2" s="3" t="s">
        <v>194</v>
      </c>
      <c r="B2" s="3" t="s">
        <v>195</v>
      </c>
      <c r="C2" s="3">
        <v>1584</v>
      </c>
      <c r="D2" s="3" t="s">
        <v>196</v>
      </c>
    </row>
    <row r="3" spans="1:4" x14ac:dyDescent="0.25">
      <c r="A3" s="3" t="s">
        <v>197</v>
      </c>
      <c r="B3" s="3" t="s">
        <v>198</v>
      </c>
      <c r="C3" s="3">
        <v>160</v>
      </c>
      <c r="D3" s="3" t="s">
        <v>196</v>
      </c>
    </row>
    <row r="4" spans="1:4" x14ac:dyDescent="0.25">
      <c r="A4" s="3" t="s">
        <v>199</v>
      </c>
      <c r="B4" s="3" t="s">
        <v>200</v>
      </c>
      <c r="C4" s="3">
        <v>140.8</v>
      </c>
      <c r="D4" s="3" t="s">
        <v>196</v>
      </c>
    </row>
    <row r="5" spans="1:4" x14ac:dyDescent="0.25">
      <c r="A5" s="3" t="s">
        <v>201</v>
      </c>
      <c r="B5" s="3" t="s">
        <v>202</v>
      </c>
      <c r="C5" s="3">
        <v>19.2</v>
      </c>
      <c r="D5" s="3" t="s">
        <v>196</v>
      </c>
    </row>
    <row r="6" spans="1:4" x14ac:dyDescent="0.25">
      <c r="A6" s="3" t="s">
        <v>203</v>
      </c>
      <c r="B6" s="3" t="s">
        <v>204</v>
      </c>
      <c r="C6" s="3">
        <v>10.1</v>
      </c>
      <c r="D6" s="3" t="s">
        <v>205</v>
      </c>
    </row>
    <row r="7" spans="1:4" x14ac:dyDescent="0.25">
      <c r="A7" s="3" t="s">
        <v>206</v>
      </c>
      <c r="B7" s="3" t="s">
        <v>207</v>
      </c>
      <c r="C7" s="3">
        <v>1424</v>
      </c>
      <c r="D7" s="3" t="s">
        <v>196</v>
      </c>
    </row>
    <row r="8" spans="1:4" x14ac:dyDescent="0.25">
      <c r="A8" s="3" t="s">
        <v>208</v>
      </c>
      <c r="B8" s="3" t="s">
        <v>209</v>
      </c>
      <c r="C8" s="3">
        <v>4.55</v>
      </c>
      <c r="D8" s="3" t="s">
        <v>174</v>
      </c>
    </row>
    <row r="9" spans="1:4" x14ac:dyDescent="0.25">
      <c r="A9" s="3" t="s">
        <v>210</v>
      </c>
      <c r="B9" s="3" t="s">
        <v>211</v>
      </c>
      <c r="C9" s="3">
        <v>1.52</v>
      </c>
      <c r="D9" s="3" t="s">
        <v>174</v>
      </c>
    </row>
    <row r="10" spans="1:4" x14ac:dyDescent="0.25">
      <c r="A10" s="3" t="s">
        <v>187</v>
      </c>
      <c r="B10" s="3" t="s">
        <v>212</v>
      </c>
      <c r="C10" s="3" t="s">
        <v>188</v>
      </c>
      <c r="D10" s="3" t="s">
        <v>213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2" customWidth="1"/>
    <col min="3" max="3" width="45" style="12" customWidth="1"/>
    <col min="4" max="4" width="18" style="12" customWidth="1"/>
    <col min="5" max="5" width="43" style="12" customWidth="1"/>
    <col min="6" max="6" width="27" style="12" customWidth="1"/>
    <col min="7" max="7" width="15" style="12" customWidth="1"/>
    <col min="8" max="8" width="14" style="12" customWidth="1"/>
    <col min="9" max="9" width="17" style="12" customWidth="1"/>
    <col min="10" max="10" width="14" style="12" customWidth="1"/>
    <col min="11" max="11" width="45" style="12" customWidth="1"/>
  </cols>
  <sheetData>
    <row r="1" ht="24" customHeight="1" spans="1:11" x14ac:dyDescent="0.25">
      <c r="A1" s="17" t="s">
        <v>214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  <c r="I1" s="17" t="s">
        <v>222</v>
      </c>
      <c r="J1" s="17" t="s">
        <v>223</v>
      </c>
      <c r="K1" s="17" t="s">
        <v>224</v>
      </c>
    </row>
    <row r="2" spans="1:11" x14ac:dyDescent="0.25">
      <c r="A2" s="3" t="s">
        <v>225</v>
      </c>
      <c r="B2" s="3" t="s">
        <v>49</v>
      </c>
      <c r="C2" s="3" t="s">
        <v>51</v>
      </c>
      <c r="D2" s="3" t="s">
        <v>226</v>
      </c>
      <c r="E2" s="3" t="s">
        <v>227</v>
      </c>
      <c r="F2" s="3" t="s">
        <v>228</v>
      </c>
      <c r="G2" s="3" t="s">
        <v>61</v>
      </c>
      <c r="H2" s="3" t="s">
        <v>105</v>
      </c>
      <c r="I2" s="3">
        <v>32</v>
      </c>
      <c r="J2" s="3" t="s">
        <v>36</v>
      </c>
      <c r="K2" s="3" t="s">
        <v>51</v>
      </c>
    </row>
    <row r="3" spans="1:11" x14ac:dyDescent="0.25">
      <c r="A3" s="3" t="s">
        <v>229</v>
      </c>
      <c r="B3" s="3" t="s">
        <v>52</v>
      </c>
      <c r="C3" s="3" t="s">
        <v>54</v>
      </c>
      <c r="D3" s="3" t="s">
        <v>226</v>
      </c>
      <c r="E3" s="3" t="s">
        <v>230</v>
      </c>
      <c r="F3" s="3" t="s">
        <v>231</v>
      </c>
      <c r="G3" s="3" t="s">
        <v>232</v>
      </c>
      <c r="H3" s="3" t="s">
        <v>109</v>
      </c>
      <c r="I3" s="3">
        <v>80</v>
      </c>
      <c r="J3" s="3" t="s">
        <v>225</v>
      </c>
      <c r="K3" s="3" t="s">
        <v>54</v>
      </c>
    </row>
    <row r="4" spans="1:11" x14ac:dyDescent="0.25">
      <c r="A4" s="3" t="s">
        <v>233</v>
      </c>
      <c r="B4" s="3" t="s">
        <v>55</v>
      </c>
      <c r="C4" s="3" t="s">
        <v>57</v>
      </c>
      <c r="D4" s="3" t="s">
        <v>226</v>
      </c>
      <c r="E4" s="3" t="s">
        <v>234</v>
      </c>
      <c r="F4" s="3" t="s">
        <v>235</v>
      </c>
      <c r="G4" s="3" t="s">
        <v>80</v>
      </c>
      <c r="H4" s="3" t="s">
        <v>89</v>
      </c>
      <c r="I4" s="3">
        <v>48</v>
      </c>
      <c r="J4" s="3" t="s">
        <v>229</v>
      </c>
      <c r="K4" s="3" t="s">
        <v>57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3" width="45" style="12" customWidth="1"/>
    <col min="4" max="4" width="16" style="12" customWidth="1"/>
    <col min="5" max="5" width="18" style="12" customWidth="1"/>
    <col min="6" max="6" width="14" style="12" customWidth="1"/>
    <col min="7" max="7" width="15" style="12" customWidth="1"/>
    <col min="8" max="8" width="14" style="12" customWidth="1"/>
    <col min="9" max="9" width="17" style="12" customWidth="1"/>
    <col min="10" max="10" width="18" style="12" customWidth="1"/>
    <col min="11" max="11" width="17" style="12" customWidth="1"/>
    <col min="12" max="13" width="14" style="12" customWidth="1"/>
    <col min="14" max="14" width="24" style="12" customWidth="1"/>
    <col min="15" max="15" width="45" style="12" customWidth="1"/>
    <col min="16" max="16" width="16" style="12" customWidth="1"/>
  </cols>
  <sheetData>
    <row r="1" ht="24" customHeight="1" spans="1:16" x14ac:dyDescent="0.25">
      <c r="A1" s="17" t="s">
        <v>236</v>
      </c>
      <c r="B1" s="17" t="s">
        <v>237</v>
      </c>
      <c r="C1" s="17" t="s">
        <v>5</v>
      </c>
      <c r="D1" s="17" t="s">
        <v>238</v>
      </c>
      <c r="E1" s="17" t="s">
        <v>239</v>
      </c>
      <c r="F1" s="17" t="s">
        <v>240</v>
      </c>
      <c r="G1" s="17" t="s">
        <v>220</v>
      </c>
      <c r="H1" s="17" t="s">
        <v>221</v>
      </c>
      <c r="I1" s="17" t="s">
        <v>222</v>
      </c>
      <c r="J1" s="17" t="s">
        <v>241</v>
      </c>
      <c r="K1" s="17" t="s">
        <v>242</v>
      </c>
      <c r="L1" s="17" t="s">
        <v>243</v>
      </c>
      <c r="M1" s="17" t="s">
        <v>223</v>
      </c>
      <c r="N1" s="17" t="s">
        <v>244</v>
      </c>
      <c r="O1" s="17" t="s">
        <v>224</v>
      </c>
      <c r="P1" s="17" t="s">
        <v>245</v>
      </c>
    </row>
    <row r="2" spans="1:16" x14ac:dyDescent="0.25">
      <c r="A2" s="3" t="s">
        <v>246</v>
      </c>
      <c r="B2" s="3" t="s">
        <v>38</v>
      </c>
      <c r="C2" s="3" t="s">
        <v>51</v>
      </c>
      <c r="D2" s="3" t="s">
        <v>225</v>
      </c>
      <c r="E2" s="3" t="s">
        <v>226</v>
      </c>
      <c r="F2" s="3" t="s">
        <v>247</v>
      </c>
      <c r="G2" s="3" t="s">
        <v>72</v>
      </c>
      <c r="H2" s="3" t="s">
        <v>81</v>
      </c>
      <c r="I2" s="3">
        <v>32</v>
      </c>
      <c r="J2" s="3">
        <v>60</v>
      </c>
      <c r="K2" s="3" t="s">
        <v>174</v>
      </c>
      <c r="L2" s="3">
        <v>2.73</v>
      </c>
      <c r="M2" s="3" t="s">
        <v>36</v>
      </c>
      <c r="N2" s="3" t="s">
        <v>248</v>
      </c>
      <c r="O2" s="3" t="s">
        <v>51</v>
      </c>
      <c r="P2" s="3" t="s">
        <v>249</v>
      </c>
    </row>
    <row r="3" spans="1:16" x14ac:dyDescent="0.25">
      <c r="A3" s="3" t="s">
        <v>250</v>
      </c>
      <c r="B3" s="3" t="s">
        <v>39</v>
      </c>
      <c r="C3" s="3" t="s">
        <v>54</v>
      </c>
      <c r="D3" s="3" t="s">
        <v>229</v>
      </c>
      <c r="E3" s="3" t="s">
        <v>226</v>
      </c>
      <c r="F3" s="3" t="s">
        <v>247</v>
      </c>
      <c r="G3" s="3" t="s">
        <v>251</v>
      </c>
      <c r="H3" s="3" t="s">
        <v>252</v>
      </c>
      <c r="I3" s="3">
        <v>80</v>
      </c>
      <c r="J3" s="3">
        <v>150</v>
      </c>
      <c r="K3" s="3" t="s">
        <v>174</v>
      </c>
      <c r="L3" s="3">
        <v>6.82</v>
      </c>
      <c r="M3" s="3" t="s">
        <v>246</v>
      </c>
      <c r="N3" s="3" t="s">
        <v>253</v>
      </c>
      <c r="O3" s="3" t="s">
        <v>54</v>
      </c>
      <c r="P3" s="3" t="s">
        <v>249</v>
      </c>
    </row>
    <row r="4" spans="1:16" x14ac:dyDescent="0.25">
      <c r="A4" s="3" t="s">
        <v>254</v>
      </c>
      <c r="B4" s="3" t="s">
        <v>41</v>
      </c>
      <c r="C4" s="3" t="s">
        <v>57</v>
      </c>
      <c r="D4" s="3" t="s">
        <v>233</v>
      </c>
      <c r="E4" s="3" t="s">
        <v>226</v>
      </c>
      <c r="F4" s="3" t="s">
        <v>255</v>
      </c>
      <c r="G4" s="3" t="s">
        <v>252</v>
      </c>
      <c r="H4" s="3" t="s">
        <v>256</v>
      </c>
      <c r="I4" s="3">
        <v>48</v>
      </c>
      <c r="J4" s="3">
        <v>90</v>
      </c>
      <c r="K4" s="3" t="s">
        <v>174</v>
      </c>
      <c r="L4" s="3">
        <v>4.09</v>
      </c>
      <c r="M4" s="3" t="s">
        <v>250</v>
      </c>
      <c r="N4" s="3" t="s">
        <v>257</v>
      </c>
      <c r="O4" s="3" t="s">
        <v>57</v>
      </c>
      <c r="P4" s="3" t="s">
        <v>249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2" customWidth="1"/>
    <col min="2" max="3" width="45" style="12" customWidth="1"/>
    <col min="4" max="4" width="15" style="12" customWidth="1"/>
  </cols>
  <sheetData>
    <row r="1" ht="24" customHeight="1" spans="1:4" x14ac:dyDescent="0.25">
      <c r="A1" s="17" t="s">
        <v>258</v>
      </c>
      <c r="B1" s="17" t="s">
        <v>259</v>
      </c>
      <c r="C1" s="17" t="s">
        <v>260</v>
      </c>
      <c r="D1" s="17" t="s">
        <v>28</v>
      </c>
    </row>
    <row r="2" spans="1:4" x14ac:dyDescent="0.25">
      <c r="A2" s="3" t="s">
        <v>261</v>
      </c>
      <c r="B2" s="3" t="s">
        <v>262</v>
      </c>
      <c r="C2" s="3" t="s">
        <v>263</v>
      </c>
      <c r="D2" s="3">
        <v>19.2</v>
      </c>
    </row>
    <row r="3" spans="1:4" x14ac:dyDescent="0.25">
      <c r="A3" s="3" t="s">
        <v>264</v>
      </c>
      <c r="B3" s="3" t="s">
        <v>265</v>
      </c>
      <c r="C3" s="3" t="s">
        <v>266</v>
      </c>
      <c r="D3" s="3">
        <v>6.72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38" style="12" customWidth="1"/>
    <col min="3" max="3" width="15" style="12" customWidth="1"/>
    <col min="4" max="6" width="14" style="12" customWidth="1"/>
    <col min="7" max="9" width="45" style="12" customWidth="1"/>
    <col min="10" max="10" width="14" style="12" customWidth="1"/>
  </cols>
  <sheetData>
    <row r="1" ht="24" customHeight="1" spans="1:10" x14ac:dyDescent="0.25">
      <c r="A1" s="17" t="s">
        <v>267</v>
      </c>
      <c r="B1" s="17" t="s">
        <v>5</v>
      </c>
      <c r="C1" s="17" t="s">
        <v>268</v>
      </c>
      <c r="D1" s="17" t="s">
        <v>269</v>
      </c>
      <c r="E1" s="17" t="s">
        <v>134</v>
      </c>
      <c r="F1" s="17" t="s">
        <v>270</v>
      </c>
      <c r="G1" s="17" t="s">
        <v>271</v>
      </c>
      <c r="H1" s="17" t="s">
        <v>272</v>
      </c>
      <c r="I1" s="17" t="s">
        <v>273</v>
      </c>
      <c r="J1" s="17" t="s">
        <v>217</v>
      </c>
    </row>
    <row r="2" spans="1:10" x14ac:dyDescent="0.25">
      <c r="A2" s="3" t="s">
        <v>274</v>
      </c>
      <c r="B2" s="3" t="s">
        <v>137</v>
      </c>
      <c r="C2" s="3" t="s">
        <v>172</v>
      </c>
      <c r="D2" s="3" t="s">
        <v>247</v>
      </c>
      <c r="E2" s="3" t="s">
        <v>247</v>
      </c>
      <c r="F2" s="3" t="s">
        <v>275</v>
      </c>
      <c r="G2" s="3" t="s">
        <v>276</v>
      </c>
      <c r="H2" s="3" t="s">
        <v>139</v>
      </c>
      <c r="I2" s="3" t="s">
        <v>277</v>
      </c>
      <c r="J2" s="3" t="s">
        <v>112</v>
      </c>
    </row>
    <row r="3" spans="1:10" x14ac:dyDescent="0.25">
      <c r="A3" s="3" t="s">
        <v>278</v>
      </c>
      <c r="B3" s="3" t="s">
        <v>140</v>
      </c>
      <c r="C3" s="3" t="s">
        <v>172</v>
      </c>
      <c r="D3" s="3" t="s">
        <v>247</v>
      </c>
      <c r="E3" s="3" t="s">
        <v>247</v>
      </c>
      <c r="F3" s="3" t="s">
        <v>275</v>
      </c>
      <c r="G3" s="3" t="s">
        <v>276</v>
      </c>
      <c r="H3" s="3" t="s">
        <v>142</v>
      </c>
      <c r="I3" s="3" t="s">
        <v>277</v>
      </c>
      <c r="J3" s="3" t="s">
        <v>112</v>
      </c>
    </row>
    <row r="4" spans="1:10" x14ac:dyDescent="0.25">
      <c r="A4" s="3" t="s">
        <v>279</v>
      </c>
      <c r="B4" s="3" t="s">
        <v>143</v>
      </c>
      <c r="C4" s="3" t="s">
        <v>172</v>
      </c>
      <c r="D4" s="3" t="s">
        <v>247</v>
      </c>
      <c r="E4" s="3" t="s">
        <v>247</v>
      </c>
      <c r="F4" s="3" t="s">
        <v>275</v>
      </c>
      <c r="G4" s="3" t="s">
        <v>276</v>
      </c>
      <c r="H4" s="3" t="s">
        <v>145</v>
      </c>
      <c r="I4" s="3" t="s">
        <v>277</v>
      </c>
      <c r="J4" s="3" t="s">
        <v>112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27" style="12" customWidth="1"/>
    <col min="3" max="3" width="45" style="12" customWidth="1"/>
    <col min="4" max="4" width="38" style="12" customWidth="1"/>
    <col min="5" max="6" width="14" style="12" customWidth="1"/>
    <col min="7" max="7" width="29" style="12" customWidth="1"/>
    <col min="8" max="8" width="23" style="12" customWidth="1"/>
    <col min="9" max="9" width="19" style="12" customWidth="1"/>
  </cols>
  <sheetData>
    <row r="1" ht="24" customHeight="1" spans="1:9" x14ac:dyDescent="0.25">
      <c r="A1" s="17" t="s">
        <v>280</v>
      </c>
      <c r="B1" s="17" t="s">
        <v>281</v>
      </c>
      <c r="C1" s="17" t="s">
        <v>5</v>
      </c>
      <c r="D1" s="17" t="s">
        <v>192</v>
      </c>
      <c r="E1" s="17" t="s">
        <v>193</v>
      </c>
      <c r="F1" s="17" t="s">
        <v>260</v>
      </c>
      <c r="G1" s="17" t="s">
        <v>282</v>
      </c>
      <c r="H1" s="17" t="s">
        <v>283</v>
      </c>
      <c r="I1" s="17" t="s">
        <v>284</v>
      </c>
    </row>
    <row r="2" spans="1:9" x14ac:dyDescent="0.25">
      <c r="A2" s="3" t="s">
        <v>285</v>
      </c>
      <c r="B2" s="3" t="s">
        <v>286</v>
      </c>
      <c r="C2" s="3" t="s">
        <v>287</v>
      </c>
      <c r="D2" s="3" t="s">
        <v>288</v>
      </c>
      <c r="E2" s="3" t="s">
        <v>174</v>
      </c>
      <c r="F2" s="3">
        <v>300</v>
      </c>
      <c r="G2" s="3" t="s">
        <v>289</v>
      </c>
      <c r="H2" s="3" t="s">
        <v>290</v>
      </c>
      <c r="I2" s="3" t="s">
        <v>291</v>
      </c>
    </row>
    <row r="3" spans="1:9" x14ac:dyDescent="0.25">
      <c r="A3" s="3" t="s">
        <v>292</v>
      </c>
      <c r="B3" s="3" t="s">
        <v>293</v>
      </c>
      <c r="C3" s="3" t="s">
        <v>294</v>
      </c>
      <c r="D3" s="3" t="s">
        <v>295</v>
      </c>
      <c r="E3" s="3" t="s">
        <v>205</v>
      </c>
      <c r="F3" s="3">
        <v>10.1</v>
      </c>
      <c r="G3" s="3" t="s">
        <v>296</v>
      </c>
      <c r="H3" s="3" t="s">
        <v>297</v>
      </c>
      <c r="I3" s="3" t="s">
        <v>298</v>
      </c>
    </row>
    <row r="4" spans="1:9" x14ac:dyDescent="0.25">
      <c r="A4" s="3" t="s">
        <v>299</v>
      </c>
      <c r="B4" s="3" t="s">
        <v>300</v>
      </c>
      <c r="C4" s="3" t="s">
        <v>301</v>
      </c>
      <c r="D4" s="3" t="s">
        <v>302</v>
      </c>
      <c r="E4" s="3" t="s">
        <v>196</v>
      </c>
      <c r="F4" s="3">
        <v>19.2</v>
      </c>
      <c r="G4" s="3" t="s">
        <v>303</v>
      </c>
      <c r="H4" s="3" t="s">
        <v>304</v>
      </c>
      <c r="I4" s="3" t="s">
        <v>305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28" style="12" customWidth="1"/>
    <col min="3" max="3" width="14" style="12" customWidth="1"/>
    <col min="4" max="4" width="38" style="12" customWidth="1"/>
    <col min="5" max="5" width="19" style="12" customWidth="1"/>
    <col min="6" max="6" width="16" style="12" customWidth="1"/>
    <col min="7" max="7" width="15" style="12" customWidth="1"/>
    <col min="8" max="8" width="14" style="12" customWidth="1"/>
    <col min="9" max="9" width="45" style="12" customWidth="1"/>
    <col min="10" max="10" width="16" style="12" customWidth="1"/>
  </cols>
  <sheetData>
    <row r="1" ht="24" customHeight="1" spans="1:10" x14ac:dyDescent="0.25">
      <c r="A1" s="17" t="s">
        <v>306</v>
      </c>
      <c r="B1" s="17" t="s">
        <v>307</v>
      </c>
      <c r="C1" s="17" t="s">
        <v>308</v>
      </c>
      <c r="D1" s="17" t="s">
        <v>216</v>
      </c>
      <c r="E1" s="17" t="s">
        <v>309</v>
      </c>
      <c r="F1" s="17" t="s">
        <v>310</v>
      </c>
      <c r="G1" s="17" t="s">
        <v>311</v>
      </c>
      <c r="H1" s="17" t="s">
        <v>312</v>
      </c>
      <c r="I1" s="17" t="s">
        <v>313</v>
      </c>
      <c r="J1" s="17" t="s">
        <v>314</v>
      </c>
    </row>
    <row r="2" spans="1:10" x14ac:dyDescent="0.25">
      <c r="A2" s="3" t="s">
        <v>315</v>
      </c>
      <c r="B2" s="3" t="s">
        <v>316</v>
      </c>
      <c r="C2" s="3" t="s">
        <v>317</v>
      </c>
      <c r="D2" s="3" t="s">
        <v>318</v>
      </c>
      <c r="E2" s="3" t="s">
        <v>291</v>
      </c>
      <c r="F2" s="3" t="s">
        <v>19</v>
      </c>
      <c r="G2" s="3" t="s">
        <v>23</v>
      </c>
      <c r="H2" s="3" t="s">
        <v>319</v>
      </c>
      <c r="I2" s="3" t="s">
        <v>36</v>
      </c>
      <c r="J2" s="3" t="s">
        <v>320</v>
      </c>
    </row>
    <row r="3" spans="1:10" x14ac:dyDescent="0.25">
      <c r="A3" s="3" t="s">
        <v>321</v>
      </c>
      <c r="B3" s="3" t="s">
        <v>322</v>
      </c>
      <c r="C3" s="3" t="s">
        <v>323</v>
      </c>
      <c r="D3" s="3" t="s">
        <v>324</v>
      </c>
      <c r="E3" s="3" t="s">
        <v>298</v>
      </c>
      <c r="F3" s="3" t="s">
        <v>169</v>
      </c>
      <c r="G3" s="3" t="s">
        <v>170</v>
      </c>
      <c r="H3" s="3" t="s">
        <v>325</v>
      </c>
      <c r="I3" s="3" t="s">
        <v>326</v>
      </c>
      <c r="J3" s="3" t="s">
        <v>320</v>
      </c>
    </row>
    <row r="4" spans="1:10" x14ac:dyDescent="0.25">
      <c r="A4" s="3" t="s">
        <v>327</v>
      </c>
      <c r="B4" s="3" t="s">
        <v>328</v>
      </c>
      <c r="C4" s="3" t="s">
        <v>323</v>
      </c>
      <c r="D4" s="3" t="s">
        <v>329</v>
      </c>
      <c r="E4" s="3" t="s">
        <v>330</v>
      </c>
      <c r="F4" s="3" t="s">
        <v>134</v>
      </c>
      <c r="G4" s="3" t="s">
        <v>267</v>
      </c>
      <c r="H4" s="3" t="s">
        <v>331</v>
      </c>
      <c r="I4" s="3" t="s">
        <v>36</v>
      </c>
      <c r="J4" s="3" t="s">
        <v>332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28" customWidth="1"/>
    <col min="5" max="5" width="18" style="29" customWidth="1"/>
  </cols>
  <sheetData>
    <row r="1" ht="24" customHeight="1" spans="1:5" x14ac:dyDescent="0.25">
      <c r="A1" s="30" t="s">
        <v>20</v>
      </c>
      <c r="B1" s="31" t="s">
        <v>28</v>
      </c>
      <c r="C1" s="31" t="s">
        <v>29</v>
      </c>
      <c r="D1" s="31" t="s">
        <v>152</v>
      </c>
      <c r="E1" s="32" t="s">
        <v>333</v>
      </c>
    </row>
    <row r="2" spans="1:5" x14ac:dyDescent="0.25">
      <c r="A2" s="2" t="s">
        <v>334</v>
      </c>
      <c r="B2" s="33">
        <f>SUMIF('Production Plan'!$C$2:$C$66,A2,'Production Plan'!$F$2:$F$66)</f>
        <v>101.64</v>
      </c>
      <c r="C2" s="33">
        <f>SUMIF('Production Plan'!$C$2:$C$66,A2,'Production Plan'!$I$2:$I$66)</f>
        <v>0</v>
      </c>
      <c r="D2" s="33" t="str">
        <f>IF(COUNT('Production Plan'!$I$2:$I$66)=0,"",C2-B2)</f>
        <v/>
      </c>
      <c r="E2" s="34" t="str">
        <f>IF(C2=0,"",IFERROR(C2/B2,""))</f>
        <v/>
      </c>
    </row>
    <row r="3" spans="1:5" x14ac:dyDescent="0.25">
      <c r="A3" s="2" t="s">
        <v>335</v>
      </c>
      <c r="B3" s="33">
        <f>SUMIF('Production Plan'!$C$2:$C$66,A3,'Production Plan'!$F$2:$F$66)</f>
        <v>101.55</v>
      </c>
      <c r="C3" s="33">
        <f>SUMIF('Production Plan'!$C$2:$C$66,A3,'Production Plan'!$I$2:$I$66)</f>
        <v>0</v>
      </c>
      <c r="D3" s="33" t="str">
        <f>IF(COUNT('Production Plan'!$I$2:$I$66)=0,"",C3-B3)</f>
        <v/>
      </c>
      <c r="E3" s="34" t="str">
        <f>IF(C3=0,"",IFERROR(C3/B3,""))</f>
        <v/>
      </c>
    </row>
    <row r="4" spans="1:5" x14ac:dyDescent="0.25">
      <c r="A4" s="2" t="s">
        <v>336</v>
      </c>
      <c r="B4" s="33">
        <f>SUMIF('Production Plan'!$C$2:$C$66,A4,'Production Plan'!$F$2:$F$66)</f>
        <v>96.81</v>
      </c>
      <c r="C4" s="33">
        <f>SUMIF('Production Plan'!$C$2:$C$66,A4,'Production Plan'!$I$2:$I$66)</f>
        <v>0</v>
      </c>
      <c r="D4" s="33" t="str">
        <f>IF(COUNT('Production Plan'!$I$2:$I$66)=0,"",C4-B4)</f>
        <v/>
      </c>
      <c r="E4" s="34" t="str">
        <f>IF(C4=0,"",IFERROR(C4/B4,""))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12" customFormat="1" x14ac:dyDescent="0.25">
      <c r="A1" s="35" t="s">
        <v>337</v>
      </c>
      <c r="B1" s="35"/>
      <c r="C1" s="35"/>
      <c r="D1" s="35"/>
      <c r="E1" s="35"/>
      <c r="F1" s="35"/>
    </row>
    <row r="2" spans="1:6" s="12" customFormat="1" x14ac:dyDescent="0.25">
      <c r="A2" s="35"/>
      <c r="B2" s="35"/>
      <c r="C2" s="35"/>
      <c r="D2" s="35"/>
      <c r="E2" s="35"/>
      <c r="F2" s="35"/>
    </row>
    <row r="4" ht="24" customHeight="1" spans="1:2" s="12" customFormat="1" x14ac:dyDescent="0.25">
      <c r="A4" s="17" t="s">
        <v>42</v>
      </c>
      <c r="B4" s="17" t="s">
        <v>338</v>
      </c>
    </row>
    <row r="5" spans="1:2" s="12" customFormat="1" x14ac:dyDescent="0.25">
      <c r="A5" s="3" t="s">
        <v>49</v>
      </c>
      <c r="B5" s="3" t="s">
        <v>339</v>
      </c>
    </row>
    <row r="6" spans="1:2" s="12" customFormat="1" x14ac:dyDescent="0.25">
      <c r="A6" s="3" t="s">
        <v>52</v>
      </c>
      <c r="B6" s="3" t="s">
        <v>339</v>
      </c>
    </row>
    <row r="7" spans="1:2" s="12" customFormat="1" x14ac:dyDescent="0.25">
      <c r="A7" s="3" t="s">
        <v>55</v>
      </c>
      <c r="B7" s="3" t="s">
        <v>339</v>
      </c>
    </row>
    <row r="10" ht="24" customHeight="1" spans="1:3" s="12" customFormat="1" x14ac:dyDescent="0.25">
      <c r="A10" s="17" t="s">
        <v>136</v>
      </c>
      <c r="B10" s="17" t="s">
        <v>134</v>
      </c>
      <c r="C10" s="17" t="s">
        <v>272</v>
      </c>
    </row>
    <row r="11" spans="1:3" s="12" customFormat="1" x14ac:dyDescent="0.25">
      <c r="A11" s="3" t="s">
        <v>137</v>
      </c>
      <c r="B11" s="3" t="s">
        <v>138</v>
      </c>
      <c r="C11" s="3" t="s">
        <v>139</v>
      </c>
    </row>
    <row r="12" spans="1:3" s="12" customFormat="1" x14ac:dyDescent="0.25">
      <c r="A12" s="3" t="s">
        <v>140</v>
      </c>
      <c r="B12" s="3" t="s">
        <v>141</v>
      </c>
      <c r="C12" s="3" t="s">
        <v>142</v>
      </c>
    </row>
    <row r="13" spans="1:3" s="12" customFormat="1" x14ac:dyDescent="0.25">
      <c r="A13" s="3" t="s">
        <v>143</v>
      </c>
      <c r="B13" s="3" t="s">
        <v>144</v>
      </c>
      <c r="C13" s="3" t="s">
        <v>145</v>
      </c>
    </row>
    <row r="14" spans="1:3" s="12" customFormat="1" x14ac:dyDescent="0.25">
      <c r="A14" s="3" t="s">
        <v>147</v>
      </c>
      <c r="B14" s="3" t="s">
        <v>148</v>
      </c>
      <c r="C14" s="3" t="s">
        <v>149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12" customWidth="1"/>
  </cols>
  <sheetData>
    <row r="1" spans="1:4" x14ac:dyDescent="0.25">
      <c r="A1" s="35" t="s">
        <v>340</v>
      </c>
      <c r="B1" s="35"/>
      <c r="C1" s="35"/>
      <c r="D1" s="35"/>
    </row>
    <row r="2" spans="1:4" x14ac:dyDescent="0.25">
      <c r="A2" s="35"/>
      <c r="B2" s="35"/>
      <c r="C2" s="35"/>
      <c r="D2" s="35"/>
    </row>
    <row r="4" ht="24" customHeight="1" spans="1:2" x14ac:dyDescent="0.25">
      <c r="A4" s="30" t="s">
        <v>18</v>
      </c>
      <c r="B4" s="17" t="s">
        <v>146</v>
      </c>
    </row>
    <row r="5" spans="1:2" x14ac:dyDescent="0.25">
      <c r="A5" s="2">
        <v>1</v>
      </c>
      <c r="B5" s="3" t="s">
        <v>341</v>
      </c>
    </row>
    <row r="6" spans="1:2" x14ac:dyDescent="0.25">
      <c r="A6" s="2">
        <v>2</v>
      </c>
      <c r="B6" s="3" t="s">
        <v>342</v>
      </c>
    </row>
    <row r="7" spans="1:2" x14ac:dyDescent="0.25">
      <c r="A7" s="2">
        <v>3</v>
      </c>
      <c r="B7" s="3" t="s">
        <v>343</v>
      </c>
    </row>
    <row r="8" spans="1:2" x14ac:dyDescent="0.25">
      <c r="A8" s="2">
        <v>4</v>
      </c>
      <c r="B8" s="3" t="s">
        <v>344</v>
      </c>
    </row>
    <row r="9" spans="1:2" x14ac:dyDescent="0.25">
      <c r="A9" s="2">
        <v>5</v>
      </c>
      <c r="B9" s="3" t="s">
        <v>345</v>
      </c>
    </row>
    <row r="10" spans="1:2" x14ac:dyDescent="0.25">
      <c r="A10" s="2">
        <v>6</v>
      </c>
      <c r="B10" s="3" t="s">
        <v>346</v>
      </c>
    </row>
    <row r="11" spans="1:2" x14ac:dyDescent="0.25">
      <c r="A11" s="2">
        <v>7</v>
      </c>
      <c r="B11" s="3" t="s">
        <v>347</v>
      </c>
    </row>
    <row r="12" spans="1:2" x14ac:dyDescent="0.25">
      <c r="A12" s="2">
        <v>8</v>
      </c>
      <c r="B12" s="3" t="s">
        <v>348</v>
      </c>
    </row>
    <row r="13" spans="1:2" x14ac:dyDescent="0.25">
      <c r="A13" s="2">
        <v>9</v>
      </c>
      <c r="B13" s="3" t="s">
        <v>349</v>
      </c>
    </row>
    <row r="14" spans="1:2" x14ac:dyDescent="0.25">
      <c r="A14" s="2">
        <v>10</v>
      </c>
      <c r="B14" s="3" t="s">
        <v>350</v>
      </c>
    </row>
    <row r="15" spans="1:2" x14ac:dyDescent="0.25">
      <c r="A15" s="2">
        <v>11</v>
      </c>
      <c r="B15" s="3" t="s">
        <v>351</v>
      </c>
    </row>
    <row r="16" spans="1:2" x14ac:dyDescent="0.25">
      <c r="A16" s="2">
        <v>12</v>
      </c>
      <c r="B16" s="3" t="s">
        <v>352</v>
      </c>
    </row>
    <row r="17" spans="1:2" x14ac:dyDescent="0.25">
      <c r="A17" s="2">
        <v>13</v>
      </c>
      <c r="B17" s="3" t="s">
        <v>353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Production Plan</vt:lpstr>
      <vt:lpstr>LPB Phase Summary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2026-07-30T01:49:09Z</dcterms:created>
  <dcterms:modified xsi:type="dcterms:W3CDTF">2026-07-30T01:49:09Z</dcterms:modified>
</cp:coreProperties>
</file>